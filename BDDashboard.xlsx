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briela\Desktop\Gabriela Mariños\UNT\8 CICLO\REALIDAD NACIONAL\Semana1\TrabajoFinalSemana1\DatosLimpios\"/>
    </mc:Choice>
  </mc:AlternateContent>
  <xr:revisionPtr revIDLastSave="0" documentId="13_ncr:1_{82343972-14E4-485F-9416-8E0C042AB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LaLibertad" sheetId="1" r:id="rId1"/>
    <sheet name="Ranking_Crecimiento" sheetId="2" r:id="rId2"/>
    <sheet name="Poblacion_Larga" sheetId="4" r:id="rId3"/>
    <sheet name="Indicadores_Largos_84" sheetId="7" r:id="rId4"/>
    <sheet name="Fuentes_Indicadores" sheetId="9" r:id="rId5"/>
    <sheet name="Resumen_Indicadores" sheetId="10" r:id="rId6"/>
  </sheets>
  <externalReferences>
    <externalReference r:id="rId7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0" l="1"/>
  <c r="E8" i="10"/>
  <c r="D8" i="10"/>
  <c r="C8" i="10"/>
  <c r="B8" i="10"/>
  <c r="F7" i="10"/>
  <c r="E7" i="10"/>
  <c r="D7" i="10"/>
  <c r="C7" i="10"/>
  <c r="B7" i="10"/>
  <c r="I6" i="10"/>
  <c r="F6" i="10"/>
  <c r="E6" i="10"/>
  <c r="D6" i="10"/>
  <c r="C6" i="10"/>
  <c r="B6" i="10"/>
  <c r="I5" i="10"/>
  <c r="F5" i="10"/>
  <c r="E5" i="10"/>
  <c r="D5" i="10"/>
  <c r="C5" i="10"/>
  <c r="B5" i="10"/>
  <c r="I4" i="10"/>
  <c r="F4" i="10"/>
  <c r="E4" i="10"/>
  <c r="D4" i="10"/>
  <c r="C4" i="10"/>
  <c r="B4" i="10"/>
</calcChain>
</file>

<file path=xl/sharedStrings.xml><?xml version="1.0" encoding="utf-8"?>
<sst xmlns="http://schemas.openxmlformats.org/spreadsheetml/2006/main" count="11723" uniqueCount="364">
  <si>
    <t>UBIGEO</t>
  </si>
  <si>
    <t>Departamento</t>
  </si>
  <si>
    <t>Provincia</t>
  </si>
  <si>
    <t>Distrito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</si>
  <si>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</si>
  <si>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</si>
  <si>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</si>
  <si>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</si>
  <si>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</si>
  <si>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</si>
  <si>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</si>
  <si>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</si>
  <si>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</si>
  <si>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Cambio_abs_18_26</t>
  </si>
  <si>
    <t>Cambio_pct_18_26</t>
  </si>
  <si>
    <t>CAGR_18_26</t>
  </si>
  <si>
    <t>Participacion_2026_pct</t>
  </si>
  <si>
    <t>Z_P2026</t>
  </si>
  <si>
    <t>Ranking_P2026</t>
  </si>
  <si>
    <t>130101</t>
  </si>
  <si>
    <t>La Libertad</t>
  </si>
  <si>
    <t>Trujillo</t>
  </si>
  <si>
    <t>TRUJILLO</t>
  </si>
  <si>
    <t>130102</t>
  </si>
  <si>
    <t>EL PORVENIR 18/ 20/</t>
  </si>
  <si>
    <t>130103</t>
  </si>
  <si>
    <t>FLORENCIA DE MORA 18/</t>
  </si>
  <si>
    <t>130104</t>
  </si>
  <si>
    <t>HUANCHACO 19/</t>
  </si>
  <si>
    <t>130105</t>
  </si>
  <si>
    <t>LA ESPERANZA 18/</t>
  </si>
  <si>
    <t>130106</t>
  </si>
  <si>
    <t>LAREDO 20/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</si>
  <si>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</si>
  <si>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</si>
  <si>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</si>
  <si>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</si>
  <si>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</si>
  <si>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</si>
  <si>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</si>
  <si>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</si>
  <si>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</si>
  <si>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</si>
  <si>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130112</t>
  </si>
  <si>
    <t>ALTO TRUJILLO 18/</t>
  </si>
  <si>
    <t>130201</t>
  </si>
  <si>
    <t>Ascope</t>
  </si>
  <si>
    <t>ASCOPE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</si>
  <si>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</si>
  <si>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</si>
  <si>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</si>
  <si>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</si>
  <si>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</si>
  <si>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</si>
  <si>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</si>
  <si>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</si>
  <si>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</si>
  <si>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</si>
  <si>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130207</t>
  </si>
  <si>
    <t>SANTIAGO DE CAO</t>
  </si>
  <si>
    <t>130208</t>
  </si>
  <si>
    <t>CASA GRANDE</t>
  </si>
  <si>
    <t>130301</t>
  </si>
  <si>
    <t>Bolivar</t>
  </si>
  <si>
    <t>BOLIVAR</t>
  </si>
  <si>
    <t>130302</t>
  </si>
  <si>
    <t>BAMBAMARCA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</si>
  <si>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</si>
  <si>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</si>
  <si>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</si>
  <si>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</si>
  <si>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</si>
  <si>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</si>
  <si>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</si>
  <si>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</si>
  <si>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130401</t>
  </si>
  <si>
    <t>Chepen</t>
  </si>
  <si>
    <t>CHEPEN</t>
  </si>
  <si>
    <t>130402</t>
  </si>
  <si>
    <t>PACANGA</t>
  </si>
  <si>
    <t>130403</t>
  </si>
  <si>
    <t>PUEBLO NUEVO</t>
  </si>
  <si>
    <t>130501</t>
  </si>
  <si>
    <t>Julcan</t>
  </si>
  <si>
    <t>JULCAN</t>
  </si>
  <si>
    <t>130502</t>
  </si>
  <si>
    <t>CALAMARCA</t>
  </si>
  <si>
    <t>130503</t>
  </si>
  <si>
    <t>CARABAMBA</t>
  </si>
  <si>
    <t>130504</t>
  </si>
  <si>
    <t>HUASO</t>
  </si>
  <si>
    <t>130601</t>
  </si>
  <si>
    <t>Otuzco</t>
  </si>
  <si>
    <t>OTUZCO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</si>
  <si>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</si>
  <si>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</si>
  <si>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</si>
  <si>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</si>
  <si>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</si>
  <si>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</si>
  <si>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</si>
  <si>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</si>
  <si>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</si>
  <si>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</si>
  <si>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</si>
  <si>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</si>
  <si>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</si>
  <si>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</si>
  <si>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</si>
  <si>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</si>
  <si>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</si>
  <si>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</si>
  <si>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</si>
  <si>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Pacasmayo</t>
  </si>
  <si>
    <t>SAN PEDRO DE LLOC</t>
  </si>
  <si>
    <t>130702</t>
  </si>
  <si>
    <t>GUADALUPE</t>
  </si>
  <si>
    <t>130703</t>
  </si>
  <si>
    <t>JEQUETEPEQUE</t>
  </si>
  <si>
    <t>130704</t>
  </si>
  <si>
    <t>PACASMAYO</t>
  </si>
  <si>
    <t>130705</t>
  </si>
  <si>
    <t>SAN JOSE</t>
  </si>
  <si>
    <t>130801</t>
  </si>
  <si>
    <t>Pataz</t>
  </si>
  <si>
    <t>TAYABAMBA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</si>
  <si>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</si>
  <si>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</si>
  <si>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</si>
  <si>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</si>
  <si>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</si>
  <si>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</si>
  <si>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</si>
  <si>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</si>
  <si>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</si>
  <si>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</si>
  <si>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</si>
  <si>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</si>
  <si>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</si>
  <si>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</si>
  <si>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</si>
  <si>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PATAZ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</si>
  <si>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</si>
  <si>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</si>
  <si>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</si>
  <si>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</si>
  <si>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</si>
  <si>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</si>
  <si>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</si>
  <si>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</si>
  <si>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</si>
  <si>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>Sanchez Carrion</t>
  </si>
  <si>
    <t>HUAMACHUCO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</si>
  <si>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</si>
  <si>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</si>
  <si>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</si>
  <si>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</si>
  <si>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</si>
  <si>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</si>
  <si>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</si>
  <si>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</si>
  <si>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</si>
  <si>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</si>
  <si>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</si>
  <si>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</si>
  <si>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</si>
  <si>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</si>
  <si>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</si>
  <si>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>Santiago de Chuco</t>
  </si>
  <si>
    <t>SANTIAGO DE CHUCO</t>
  </si>
  <si>
    <t>131002</t>
  </si>
  <si>
    <t>ANGASMARCA</t>
  </si>
  <si>
    <t>131003</t>
  </si>
  <si>
    <t>CACHICADAN</t>
  </si>
  <si>
    <t>131004</t>
  </si>
  <si>
    <t>MOLLEBAMBA</t>
  </si>
  <si>
    <t>131005</t>
  </si>
  <si>
    <t>MOLLEPATA</t>
  </si>
  <si>
    <t>131006</t>
  </si>
  <si>
    <t>QUIRUVILCA</t>
  </si>
  <si>
    <t>131007</t>
  </si>
  <si>
    <t>SANTA CRUZ DE CHUCA</t>
  </si>
  <si>
    <t>131008</t>
  </si>
  <si>
    <t>SITABAMBA</t>
  </si>
  <si>
    <t>131101</t>
  </si>
  <si>
    <t>Gran Chimu</t>
  </si>
  <si>
    <t>CASCAS</t>
  </si>
  <si>
    <t>131102</t>
  </si>
  <si>
    <t>LUCMA</t>
  </si>
  <si>
    <t>131103</t>
  </si>
  <si>
    <t xml:space="preserve">MARMOT </t>
  </si>
  <si>
    <t>131104</t>
  </si>
  <si>
    <t>SAYAPULLO</t>
  </si>
  <si>
    <t>131201</t>
  </si>
  <si>
    <t>Viru</t>
  </si>
  <si>
    <t>VIRU</t>
  </si>
  <si>
    <t>131202</t>
  </si>
  <si>
    <t>CHAO</t>
  </si>
  <si>
    <t>131203</t>
  </si>
  <si>
    <t>GUADALUPITO</t>
  </si>
  <si>
    <t>Año</t>
  </si>
  <si>
    <t>Dimensión</t>
  </si>
  <si>
    <t>Indicador</t>
  </si>
  <si>
    <t>Valor</t>
  </si>
  <si>
    <t>Unidad</t>
  </si>
  <si>
    <t>Fuente</t>
  </si>
  <si>
    <t>URL</t>
  </si>
  <si>
    <t>Demografía</t>
  </si>
  <si>
    <t>Población total proyectada al 30 de junio</t>
  </si>
  <si>
    <t>Personas</t>
  </si>
  <si>
    <t>INEI</t>
  </si>
  <si>
    <t>https://www.gob.pe/institucion/inei/informes-publicaciones/6894980-peru-poblacion-total-proyectada-al-30-de-junio-de-cada-ano-segun-departamento-provincia-y-distrito-2018-2026</t>
  </si>
  <si>
    <t>Población 2026</t>
  </si>
  <si>
    <t>Agua por red pública 2017 (%)</t>
  </si>
  <si>
    <t>Analfabetismo 15+ 2017 (%)</t>
  </si>
  <si>
    <t>INEI - Población proyectada 2018-2026</t>
  </si>
  <si>
    <t>INEI - Censo 2017 / Compendio La Libertad 2025, cuadro 5.22</t>
  </si>
  <si>
    <t>El Porvenir</t>
  </si>
  <si>
    <t>Florencia De Mora</t>
  </si>
  <si>
    <t>Huanchaco</t>
  </si>
  <si>
    <t>La Esperanza</t>
  </si>
  <si>
    <t>Laredo</t>
  </si>
  <si>
    <t>Moche</t>
  </si>
  <si>
    <t>Poroto</t>
  </si>
  <si>
    <t>Salaverry</t>
  </si>
  <si>
    <t>Simbal</t>
  </si>
  <si>
    <t>Victor Larco Herrera</t>
  </si>
  <si>
    <t>Alto Trujillo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</si>
  <si>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</si>
  <si>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</si>
  <si>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</si>
  <si>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</si>
  <si>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</si>
  <si>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</si>
  <si>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</si>
  <si>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Bambamarca</t>
  </si>
  <si>
    <t>Condormarca</t>
  </si>
  <si>
    <t>Longotea</t>
  </si>
  <si>
    <t>Uchumarca</t>
  </si>
  <si>
    <t>Ucuncha</t>
  </si>
  <si>
    <t>Pacanga</t>
  </si>
  <si>
    <t>Pueblo Nuevo</t>
  </si>
  <si>
    <t>Calamarca</t>
  </si>
  <si>
    <t>Carabamba</t>
  </si>
  <si>
    <t>Huaso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</si>
  <si>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</si>
  <si>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</si>
  <si>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</si>
  <si>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</si>
  <si>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</si>
  <si>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</si>
  <si>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</si>
  <si>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</si>
  <si>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</si>
  <si>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San Pedro De Lloc</t>
  </si>
  <si>
    <t>Guadalupe</t>
  </si>
  <si>
    <t>Jequetepeque</t>
  </si>
  <si>
    <t>San Jose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</si>
  <si>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</si>
  <si>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</si>
  <si>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</si>
  <si>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</si>
  <si>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</si>
  <si>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</si>
  <si>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</si>
  <si>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</si>
  <si>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</si>
  <si>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</si>
  <si>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</si>
  <si>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</si>
  <si>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</si>
  <si>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</si>
  <si>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</si>
  <si>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</si>
  <si>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</si>
  <si>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</si>
  <si>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</si>
  <si>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</si>
  <si>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</si>
  <si>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</si>
  <si>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</si>
  <si>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</si>
  <si>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Mollepata</t>
  </si>
  <si>
    <t>Quiruvilca</t>
  </si>
  <si>
    <t>Santa Cruz De Chuca</t>
  </si>
  <si>
    <t>Sitabamba</t>
  </si>
  <si>
    <t>Cascas</t>
  </si>
  <si>
    <t>Lucma</t>
  </si>
  <si>
    <t>Marmot</t>
  </si>
  <si>
    <t>Sayapullo</t>
  </si>
  <si>
    <t>Chao</t>
  </si>
  <si>
    <t>Guadalupito</t>
  </si>
  <si>
    <t>Nota</t>
  </si>
  <si>
    <t>Población total proyectada</t>
  </si>
  <si>
    <t>personas</t>
  </si>
  <si>
    <t>Proyección al 30 de junio.</t>
  </si>
  <si>
    <t>Servicios básicos</t>
  </si>
  <si>
    <t>Viviendas con agua por red pública domiciliaria</t>
  </si>
  <si>
    <t>%</t>
  </si>
  <si>
    <t>INEI - Censos Nacionales 2017, Anexo II.1</t>
  </si>
  <si>
    <t>https://www.inei.gob.pe/media/MenuRecursivo/publicaciones_digitales/Est/Lib1538/Libro.pdf</t>
  </si>
  <si>
    <t>Unidad: vivienda.</t>
  </si>
  <si>
    <t>Viviendas con alcantarillado por red pública</t>
  </si>
  <si>
    <t>INEI - Censos Nacionales 2017, Anexo II.3</t>
  </si>
  <si>
    <t>Conectividad</t>
  </si>
  <si>
    <t>Hogares con servicio de internet</t>
  </si>
  <si>
    <t>INEI - Censos Nacionales 2017, Anexo IV.1</t>
  </si>
  <si>
    <t>Unidad: hogar.</t>
  </si>
  <si>
    <t>Educación</t>
  </si>
  <si>
    <t>Tasa de analfabetismo de población de 15 años y más</t>
  </si>
  <si>
    <t>https://www.inei.gob.pe/media/MenuRecursivo/publicaciones_digitales/Est/CompDptal2025/LaLibertad2025.pdf</t>
  </si>
  <si>
    <t>Unidad: población censada de 15 años y más.</t>
  </si>
  <si>
    <t>N/D: distrito no existía en 2017.</t>
  </si>
  <si>
    <t>Fila del cuadro 5.22 rotulada Compín; corresponde territorialmente a Marmot.</t>
  </si>
  <si>
    <t>Nivel</t>
  </si>
  <si>
    <t>Institución</t>
  </si>
  <si>
    <t>Indicadores usados</t>
  </si>
  <si>
    <t>Periodo</t>
  </si>
  <si>
    <t>Nota de trazabilidad</t>
  </si>
  <si>
    <t>Población total proyectada al 30 de junio 2018-2026</t>
  </si>
  <si>
    <t>Población 2026 y serie 2018-2026</t>
  </si>
  <si>
    <t>2018-2026</t>
  </si>
  <si>
    <t>P2026 se conserva desde la hoja Base_LaLibertad del archivo entregado.</t>
  </si>
  <si>
    <t>Censos Nacionales 2017 - Anexo II.1</t>
  </si>
  <si>
    <t>Agua por red pública domiciliaria</t>
  </si>
  <si>
    <t>2017</t>
  </si>
  <si>
    <t>Viviendas particulares con ocupantes presentes.</t>
  </si>
  <si>
    <t>Censos Nacionales 2017 - Anexo II.3</t>
  </si>
  <si>
    <t>Alcantarillado por red pública</t>
  </si>
  <si>
    <t>Censos Nacionales 2017 - Anexo IV.1</t>
  </si>
  <si>
    <t>Unidad de análisis: hogares.</t>
  </si>
  <si>
    <t>Compendio Estadístico La Libertad 2025, cuadro 5.22</t>
  </si>
  <si>
    <t>Analfabetismo 15+</t>
  </si>
  <si>
    <t>Censo 2017</t>
  </si>
  <si>
    <t>Porcentaje respecto de población censada de 15 años y más.</t>
  </si>
  <si>
    <t>REDATAM Censo 2017</t>
  </si>
  <si>
    <t>Consulta y verificación complementaria</t>
  </si>
  <si>
    <t>https://censos2017.inei.gob.pe/bininei/RpWebStats.exe/CmdSet?BASE=CPV2017DI&amp;ITEM=PROGRED&amp;lang=ESP</t>
  </si>
  <si>
    <t>Permite reproducir consultas censales.</t>
  </si>
  <si>
    <t>IDE INEI</t>
  </si>
  <si>
    <t>Cartografía para QGIS</t>
  </si>
  <si>
    <t>Vigente</t>
  </si>
  <si>
    <t>https://ide.inei.gob.pe/</t>
  </si>
  <si>
    <t>Unir por UBIGEO.</t>
  </si>
  <si>
    <t>RESUMEN DESCRIPTIVO · INDICADORES DE LOS DISTRITOS DE LA LIBERTAD</t>
  </si>
  <si>
    <t>N válido</t>
  </si>
  <si>
    <t>Media</t>
  </si>
  <si>
    <t>Mediana</t>
  </si>
  <si>
    <t>Mínimo</t>
  </si>
  <si>
    <t>Máximo</t>
  </si>
  <si>
    <t>Cobertura</t>
  </si>
  <si>
    <t>Media distrital</t>
  </si>
  <si>
    <t>Agua</t>
  </si>
  <si>
    <t>Alcantarillado</t>
  </si>
  <si>
    <t>Alcantarillado 2017 (%)</t>
  </si>
  <si>
    <t>Internet</t>
  </si>
  <si>
    <t>Internet 2017 (%)</t>
  </si>
  <si>
    <t>Control</t>
  </si>
  <si>
    <t>Resultado</t>
  </si>
  <si>
    <t>Distritos actuales incluidos</t>
  </si>
  <si>
    <t>Distritos con indicadores sociales Censo 2017</t>
  </si>
  <si>
    <t>Sin datos sociales distritales 2017</t>
  </si>
  <si>
    <t>Regla metodológica</t>
  </si>
  <si>
    <t>No imputar a Alto Trujillo valores de los distritos de origen.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</si>
</sst>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17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3" borderId="0" xfId="0" applyFont="1" applyFill="1" applyAlignment="1">
      <alignment horizont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2" fillId="2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Promedio distrital de coberturas, Censo 2017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Media distrital</c:v>
          </c:tx>
          <c:invertIfNegative val="1"/>
          <c:cat>
            <c:strRef>
              <c:f>Resumen_Indicadores!$H$4:$H$6</c:f>
              <c:strCache>
                <c:ptCount val="3"/>
                <c:pt idx="0">
                  <c:v>Agua</c:v>
                </c:pt>
                <c:pt idx="1">
                  <c:v>Alcantarillado</c:v>
                </c:pt>
                <c:pt idx="2">
                  <c:v>Internet</c:v>
                </c:pt>
              </c:strCache>
            </c:strRef>
          </c:cat>
          <c:val>
            <c:numRef>
              <c:f>Resumen_Indicadores!$I$4:$I$6</c:f>
              <c:numCache>
                <c:formatCode>0.0</c:formatCode>
                <c:ptCount val="3"/>
                <c:pt idx="0">
                  <c:v>73.907228915662685</c:v>
                </c:pt>
                <c:pt idx="1">
                  <c:v>45.251807228915652</c:v>
                </c:pt>
                <c:pt idx="2">
                  <c:v>10.232530120481927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6-408E-8819-15B3A3BC6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ela\Desktop\Gabriela%20Mari&#241;os\UNT\8%20CICLO\REALIDAD%20NACIONAL\Semana1\TrabajoFinalSemana1\DatosLimpios\Indicadores.csv" TargetMode="External"/><Relationship Id="rId1" Type="http://schemas.openxmlformats.org/officeDocument/2006/relationships/externalLinkPath" Target="Indicador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adores"/>
    </sheetNames>
    <sheetDataSet>
      <sheetData sheetId="0">
        <row r="2">
          <cell r="F2">
            <v>98.1</v>
          </cell>
          <cell r="G2">
            <v>98.7</v>
          </cell>
          <cell r="H2">
            <v>61.3</v>
          </cell>
          <cell r="I2">
            <v>1.5</v>
          </cell>
        </row>
        <row r="3">
          <cell r="F3">
            <v>75.3</v>
          </cell>
          <cell r="G3">
            <v>72.099999999999994</v>
          </cell>
          <cell r="H3">
            <v>19.5</v>
          </cell>
          <cell r="I3">
            <v>5</v>
          </cell>
        </row>
        <row r="4">
          <cell r="F4">
            <v>98.5</v>
          </cell>
          <cell r="G4">
            <v>99.4</v>
          </cell>
          <cell r="H4">
            <v>34.700000000000003</v>
          </cell>
          <cell r="I4">
            <v>4.5</v>
          </cell>
        </row>
        <row r="5">
          <cell r="F5">
            <v>76.400000000000006</v>
          </cell>
          <cell r="G5">
            <v>73.5</v>
          </cell>
          <cell r="H5">
            <v>33.5</v>
          </cell>
          <cell r="I5">
            <v>3.9</v>
          </cell>
        </row>
        <row r="6">
          <cell r="F6">
            <v>83.9</v>
          </cell>
          <cell r="G6">
            <v>75.3</v>
          </cell>
          <cell r="H6">
            <v>33.700000000000003</v>
          </cell>
          <cell r="I6">
            <v>3.5</v>
          </cell>
        </row>
        <row r="7">
          <cell r="F7">
            <v>93.8</v>
          </cell>
          <cell r="G7">
            <v>74.8</v>
          </cell>
          <cell r="H7">
            <v>26.8</v>
          </cell>
          <cell r="I7">
            <v>5.0999999999999996</v>
          </cell>
        </row>
        <row r="8">
          <cell r="F8">
            <v>90.2</v>
          </cell>
          <cell r="G8">
            <v>87.4</v>
          </cell>
          <cell r="H8">
            <v>37.9</v>
          </cell>
          <cell r="I8">
            <v>3.3</v>
          </cell>
        </row>
        <row r="9">
          <cell r="F9">
            <v>93.2</v>
          </cell>
          <cell r="G9">
            <v>48.4</v>
          </cell>
          <cell r="H9">
            <v>1.9</v>
          </cell>
          <cell r="I9">
            <v>10</v>
          </cell>
        </row>
        <row r="10">
          <cell r="F10">
            <v>84.9</v>
          </cell>
          <cell r="G10">
            <v>80.5</v>
          </cell>
          <cell r="H10">
            <v>21.8</v>
          </cell>
          <cell r="I10">
            <v>3.4</v>
          </cell>
        </row>
        <row r="11">
          <cell r="F11">
            <v>92.6</v>
          </cell>
          <cell r="G11">
            <v>24.6</v>
          </cell>
          <cell r="H11">
            <v>10.5</v>
          </cell>
          <cell r="I11">
            <v>9.1</v>
          </cell>
        </row>
        <row r="12">
          <cell r="F12">
            <v>97.6</v>
          </cell>
          <cell r="G12">
            <v>97.7</v>
          </cell>
          <cell r="H12">
            <v>65</v>
          </cell>
          <cell r="I12">
            <v>1.6</v>
          </cell>
        </row>
        <row r="14">
          <cell r="F14">
            <v>91.2</v>
          </cell>
          <cell r="G14">
            <v>87.7</v>
          </cell>
          <cell r="H14">
            <v>19.100000000000001</v>
          </cell>
          <cell r="I14">
            <v>4.7</v>
          </cell>
        </row>
        <row r="15">
          <cell r="F15">
            <v>90.3</v>
          </cell>
          <cell r="G15">
            <v>84.3</v>
          </cell>
          <cell r="H15">
            <v>23.2</v>
          </cell>
          <cell r="I15">
            <v>5</v>
          </cell>
        </row>
        <row r="16">
          <cell r="F16">
            <v>86.5</v>
          </cell>
          <cell r="G16">
            <v>80.8</v>
          </cell>
          <cell r="H16">
            <v>32</v>
          </cell>
          <cell r="I16">
            <v>4.0999999999999996</v>
          </cell>
        </row>
        <row r="17">
          <cell r="F17">
            <v>96.6</v>
          </cell>
          <cell r="G17">
            <v>94.6</v>
          </cell>
          <cell r="H17">
            <v>35.9</v>
          </cell>
          <cell r="I17">
            <v>5.6</v>
          </cell>
        </row>
        <row r="18">
          <cell r="F18">
            <v>84.2</v>
          </cell>
          <cell r="G18">
            <v>66.900000000000006</v>
          </cell>
          <cell r="H18">
            <v>21</v>
          </cell>
          <cell r="I18">
            <v>5.5</v>
          </cell>
        </row>
        <row r="19">
          <cell r="F19">
            <v>76.900000000000006</v>
          </cell>
          <cell r="G19">
            <v>60.9</v>
          </cell>
          <cell r="H19">
            <v>17.100000000000001</v>
          </cell>
          <cell r="I19">
            <v>4.4000000000000004</v>
          </cell>
        </row>
        <row r="20">
          <cell r="F20">
            <v>90.9</v>
          </cell>
          <cell r="G20">
            <v>93.3</v>
          </cell>
          <cell r="H20">
            <v>34</v>
          </cell>
          <cell r="I20">
            <v>3.6</v>
          </cell>
        </row>
        <row r="21">
          <cell r="F21">
            <v>88.4</v>
          </cell>
          <cell r="G21">
            <v>94.2</v>
          </cell>
          <cell r="H21">
            <v>30.6</v>
          </cell>
          <cell r="I21">
            <v>3.9</v>
          </cell>
        </row>
        <row r="22">
          <cell r="F22">
            <v>73.400000000000006</v>
          </cell>
          <cell r="G22">
            <v>35</v>
          </cell>
          <cell r="H22">
            <v>1.9</v>
          </cell>
          <cell r="I22">
            <v>9.8000000000000007</v>
          </cell>
        </row>
        <row r="23">
          <cell r="F23">
            <v>76</v>
          </cell>
          <cell r="G23">
            <v>31.5</v>
          </cell>
          <cell r="H23">
            <v>0</v>
          </cell>
          <cell r="I23">
            <v>15.2</v>
          </cell>
        </row>
        <row r="24">
          <cell r="F24">
            <v>60.4</v>
          </cell>
          <cell r="G24">
            <v>21.2</v>
          </cell>
          <cell r="H24">
            <v>2.7</v>
          </cell>
          <cell r="I24">
            <v>13</v>
          </cell>
        </row>
        <row r="25">
          <cell r="F25">
            <v>82.9</v>
          </cell>
          <cell r="G25">
            <v>57.8</v>
          </cell>
          <cell r="H25">
            <v>1</v>
          </cell>
          <cell r="I25">
            <v>8.6999999999999993</v>
          </cell>
        </row>
        <row r="26">
          <cell r="F26">
            <v>79.099999999999994</v>
          </cell>
          <cell r="G26">
            <v>35.200000000000003</v>
          </cell>
          <cell r="H26">
            <v>2.5</v>
          </cell>
          <cell r="I26">
            <v>8.3000000000000007</v>
          </cell>
        </row>
        <row r="27">
          <cell r="F27">
            <v>7.1</v>
          </cell>
          <cell r="G27">
            <v>46</v>
          </cell>
          <cell r="H27">
            <v>0.8</v>
          </cell>
          <cell r="I27">
            <v>11.9</v>
          </cell>
        </row>
        <row r="28">
          <cell r="F28">
            <v>84.2</v>
          </cell>
          <cell r="G28">
            <v>74.900000000000006</v>
          </cell>
          <cell r="H28">
            <v>22.6</v>
          </cell>
          <cell r="I28">
            <v>5.2</v>
          </cell>
        </row>
        <row r="29">
          <cell r="F29">
            <v>71</v>
          </cell>
          <cell r="G29">
            <v>62.7</v>
          </cell>
          <cell r="H29">
            <v>7.3</v>
          </cell>
          <cell r="I29">
            <v>9.1999999999999993</v>
          </cell>
        </row>
        <row r="30">
          <cell r="F30">
            <v>88.8</v>
          </cell>
          <cell r="G30">
            <v>67.099999999999994</v>
          </cell>
          <cell r="H30">
            <v>14.5</v>
          </cell>
          <cell r="I30">
            <v>8.1999999999999993</v>
          </cell>
        </row>
        <row r="31">
          <cell r="F31">
            <v>59.9</v>
          </cell>
          <cell r="G31">
            <v>22.7</v>
          </cell>
          <cell r="H31">
            <v>2.2000000000000002</v>
          </cell>
          <cell r="I31">
            <v>14.7</v>
          </cell>
        </row>
        <row r="32">
          <cell r="F32">
            <v>42.9</v>
          </cell>
          <cell r="G32">
            <v>12.6</v>
          </cell>
          <cell r="H32">
            <v>2.4</v>
          </cell>
          <cell r="I32">
            <v>16.399999999999999</v>
          </cell>
        </row>
        <row r="33">
          <cell r="F33">
            <v>66.8</v>
          </cell>
          <cell r="G33">
            <v>13.7</v>
          </cell>
          <cell r="H33">
            <v>4.5</v>
          </cell>
          <cell r="I33">
            <v>12.4</v>
          </cell>
        </row>
        <row r="34">
          <cell r="F34">
            <v>45.6</v>
          </cell>
          <cell r="G34">
            <v>5.7</v>
          </cell>
          <cell r="H34">
            <v>0.1</v>
          </cell>
          <cell r="I34">
            <v>12.2</v>
          </cell>
        </row>
        <row r="35">
          <cell r="F35">
            <v>77.599999999999994</v>
          </cell>
          <cell r="G35">
            <v>49.8</v>
          </cell>
          <cell r="H35">
            <v>5.0999999999999996</v>
          </cell>
          <cell r="I35">
            <v>11.8</v>
          </cell>
        </row>
        <row r="36">
          <cell r="F36">
            <v>52.3</v>
          </cell>
          <cell r="G36">
            <v>10</v>
          </cell>
          <cell r="H36">
            <v>0.4</v>
          </cell>
          <cell r="I36">
            <v>13.1</v>
          </cell>
        </row>
        <row r="37">
          <cell r="F37">
            <v>31.2</v>
          </cell>
          <cell r="G37">
            <v>35.9</v>
          </cell>
          <cell r="H37">
            <v>0.1</v>
          </cell>
          <cell r="I37">
            <v>11.4</v>
          </cell>
        </row>
        <row r="38">
          <cell r="F38">
            <v>70.7</v>
          </cell>
          <cell r="G38">
            <v>60.3</v>
          </cell>
          <cell r="H38">
            <v>0.9</v>
          </cell>
          <cell r="I38">
            <v>11.9</v>
          </cell>
        </row>
        <row r="39">
          <cell r="F39">
            <v>72.400000000000006</v>
          </cell>
          <cell r="G39">
            <v>14</v>
          </cell>
          <cell r="H39">
            <v>0</v>
          </cell>
          <cell r="I39">
            <v>9</v>
          </cell>
        </row>
        <row r="40">
          <cell r="F40">
            <v>90.7</v>
          </cell>
          <cell r="G40">
            <v>33.1</v>
          </cell>
          <cell r="H40">
            <v>1</v>
          </cell>
          <cell r="I40">
            <v>10.7</v>
          </cell>
        </row>
        <row r="41">
          <cell r="F41">
            <v>70.5</v>
          </cell>
          <cell r="G41">
            <v>23.3</v>
          </cell>
          <cell r="H41">
            <v>1.4</v>
          </cell>
          <cell r="I41">
            <v>14.7</v>
          </cell>
        </row>
        <row r="42">
          <cell r="F42">
            <v>76.7</v>
          </cell>
          <cell r="G42">
            <v>21</v>
          </cell>
          <cell r="H42">
            <v>0.3</v>
          </cell>
          <cell r="I42">
            <v>11.1</v>
          </cell>
        </row>
        <row r="43">
          <cell r="F43">
            <v>79.900000000000006</v>
          </cell>
          <cell r="G43">
            <v>27</v>
          </cell>
          <cell r="H43">
            <v>1.7</v>
          </cell>
          <cell r="I43">
            <v>22.2</v>
          </cell>
        </row>
        <row r="44">
          <cell r="F44">
            <v>72.900000000000006</v>
          </cell>
          <cell r="G44">
            <v>21.5</v>
          </cell>
          <cell r="H44">
            <v>0.6</v>
          </cell>
          <cell r="I44">
            <v>15.9</v>
          </cell>
        </row>
        <row r="45">
          <cell r="F45">
            <v>86.1</v>
          </cell>
          <cell r="G45">
            <v>82</v>
          </cell>
          <cell r="H45">
            <v>27</v>
          </cell>
          <cell r="I45">
            <v>4.4000000000000004</v>
          </cell>
        </row>
        <row r="46">
          <cell r="F46">
            <v>83.9</v>
          </cell>
          <cell r="G46">
            <v>61.7</v>
          </cell>
          <cell r="H46">
            <v>19.5</v>
          </cell>
          <cell r="I46">
            <v>7.4</v>
          </cell>
        </row>
        <row r="47">
          <cell r="F47">
            <v>83.4</v>
          </cell>
          <cell r="G47">
            <v>54.7</v>
          </cell>
          <cell r="H47">
            <v>26.3</v>
          </cell>
          <cell r="I47">
            <v>6.4</v>
          </cell>
        </row>
        <row r="48">
          <cell r="F48">
            <v>94.6</v>
          </cell>
          <cell r="G48">
            <v>90.1</v>
          </cell>
          <cell r="H48">
            <v>27.2</v>
          </cell>
          <cell r="I48">
            <v>3</v>
          </cell>
        </row>
        <row r="49">
          <cell r="F49">
            <v>78.7</v>
          </cell>
          <cell r="G49">
            <v>27.7</v>
          </cell>
          <cell r="H49">
            <v>15.8</v>
          </cell>
          <cell r="I49">
            <v>8.6</v>
          </cell>
        </row>
        <row r="50">
          <cell r="F50">
            <v>72.8</v>
          </cell>
          <cell r="G50">
            <v>38.700000000000003</v>
          </cell>
          <cell r="H50">
            <v>1.5</v>
          </cell>
          <cell r="I50">
            <v>20.6</v>
          </cell>
        </row>
        <row r="51">
          <cell r="F51">
            <v>72.400000000000006</v>
          </cell>
          <cell r="G51">
            <v>29.5</v>
          </cell>
          <cell r="H51">
            <v>0.5</v>
          </cell>
          <cell r="I51">
            <v>15.5</v>
          </cell>
        </row>
        <row r="52">
          <cell r="F52">
            <v>84.5</v>
          </cell>
          <cell r="G52">
            <v>21.9</v>
          </cell>
          <cell r="H52">
            <v>0.5</v>
          </cell>
          <cell r="I52">
            <v>23.8</v>
          </cell>
        </row>
        <row r="53">
          <cell r="F53">
            <v>76.5</v>
          </cell>
          <cell r="G53">
            <v>22.9</v>
          </cell>
          <cell r="H53">
            <v>0.4</v>
          </cell>
          <cell r="I53">
            <v>22.2</v>
          </cell>
        </row>
        <row r="54">
          <cell r="F54">
            <v>79</v>
          </cell>
          <cell r="G54">
            <v>37.6</v>
          </cell>
          <cell r="H54">
            <v>0</v>
          </cell>
          <cell r="I54">
            <v>14.7</v>
          </cell>
        </row>
        <row r="55">
          <cell r="F55">
            <v>84.8</v>
          </cell>
          <cell r="G55">
            <v>29.3</v>
          </cell>
          <cell r="H55">
            <v>0</v>
          </cell>
          <cell r="I55">
            <v>23.6</v>
          </cell>
        </row>
        <row r="56">
          <cell r="F56">
            <v>0</v>
          </cell>
          <cell r="G56">
            <v>0</v>
          </cell>
          <cell r="H56">
            <v>0</v>
          </cell>
          <cell r="I56">
            <v>23.1</v>
          </cell>
        </row>
        <row r="57">
          <cell r="F57">
            <v>79.3</v>
          </cell>
          <cell r="G57">
            <v>59.6</v>
          </cell>
          <cell r="H57">
            <v>6.9</v>
          </cell>
          <cell r="I57">
            <v>7.1</v>
          </cell>
        </row>
        <row r="58">
          <cell r="F58">
            <v>82.2</v>
          </cell>
          <cell r="G58">
            <v>64.599999999999994</v>
          </cell>
          <cell r="H58">
            <v>8</v>
          </cell>
          <cell r="I58">
            <v>8.6999999999999993</v>
          </cell>
        </row>
        <row r="59">
          <cell r="F59">
            <v>89.9</v>
          </cell>
          <cell r="G59">
            <v>62.9</v>
          </cell>
          <cell r="H59">
            <v>0.4</v>
          </cell>
          <cell r="I59">
            <v>12.1</v>
          </cell>
        </row>
        <row r="60">
          <cell r="F60">
            <v>85.4</v>
          </cell>
          <cell r="G60">
            <v>47.3</v>
          </cell>
          <cell r="H60">
            <v>0.3</v>
          </cell>
          <cell r="I60">
            <v>19.2</v>
          </cell>
        </row>
        <row r="61">
          <cell r="F61">
            <v>82.8</v>
          </cell>
          <cell r="G61">
            <v>35.200000000000003</v>
          </cell>
          <cell r="H61">
            <v>0.4</v>
          </cell>
          <cell r="I61">
            <v>20.399999999999999</v>
          </cell>
        </row>
        <row r="62">
          <cell r="F62">
            <v>79.8</v>
          </cell>
          <cell r="G62">
            <v>26</v>
          </cell>
          <cell r="H62">
            <v>0.2</v>
          </cell>
          <cell r="I62">
            <v>23.2</v>
          </cell>
        </row>
        <row r="63">
          <cell r="F63">
            <v>81.400000000000006</v>
          </cell>
          <cell r="G63">
            <v>57.7</v>
          </cell>
          <cell r="H63">
            <v>7.4</v>
          </cell>
          <cell r="I63">
            <v>17</v>
          </cell>
        </row>
        <row r="64">
          <cell r="F64">
            <v>38.299999999999997</v>
          </cell>
          <cell r="G64">
            <v>14.7</v>
          </cell>
          <cell r="H64">
            <v>2.5</v>
          </cell>
          <cell r="I64">
            <v>25.6</v>
          </cell>
        </row>
        <row r="65">
          <cell r="F65">
            <v>74.900000000000006</v>
          </cell>
          <cell r="G65">
            <v>22</v>
          </cell>
          <cell r="H65">
            <v>0.2</v>
          </cell>
          <cell r="I65">
            <v>21.8</v>
          </cell>
        </row>
        <row r="66">
          <cell r="F66">
            <v>71.099999999999994</v>
          </cell>
          <cell r="G66">
            <v>26.5</v>
          </cell>
          <cell r="H66">
            <v>0.6</v>
          </cell>
          <cell r="I66">
            <v>22.5</v>
          </cell>
        </row>
        <row r="67">
          <cell r="F67">
            <v>63.3</v>
          </cell>
          <cell r="G67">
            <v>7.3</v>
          </cell>
          <cell r="H67">
            <v>0.7</v>
          </cell>
          <cell r="I67">
            <v>31.6</v>
          </cell>
        </row>
        <row r="68">
          <cell r="F68">
            <v>14.5</v>
          </cell>
          <cell r="G68">
            <v>3.7</v>
          </cell>
          <cell r="H68">
            <v>0.3</v>
          </cell>
          <cell r="I68">
            <v>31.3</v>
          </cell>
        </row>
        <row r="69">
          <cell r="F69">
            <v>66.2</v>
          </cell>
          <cell r="G69">
            <v>29.1</v>
          </cell>
          <cell r="H69">
            <v>0.2</v>
          </cell>
          <cell r="I69">
            <v>24.3</v>
          </cell>
        </row>
        <row r="70">
          <cell r="F70">
            <v>69.099999999999994</v>
          </cell>
          <cell r="G70">
            <v>20</v>
          </cell>
          <cell r="H70">
            <v>0.6</v>
          </cell>
          <cell r="I70">
            <v>26.6</v>
          </cell>
        </row>
        <row r="71">
          <cell r="F71">
            <v>64.5</v>
          </cell>
          <cell r="G71">
            <v>36.700000000000003</v>
          </cell>
          <cell r="H71">
            <v>1.4</v>
          </cell>
          <cell r="I71">
            <v>9.5</v>
          </cell>
        </row>
        <row r="72">
          <cell r="F72">
            <v>71.3</v>
          </cell>
          <cell r="G72">
            <v>30.7</v>
          </cell>
          <cell r="H72">
            <v>5.3</v>
          </cell>
          <cell r="I72">
            <v>17.7</v>
          </cell>
        </row>
        <row r="73">
          <cell r="F73">
            <v>56.3</v>
          </cell>
          <cell r="G73">
            <v>36.799999999999997</v>
          </cell>
          <cell r="H73">
            <v>0.8</v>
          </cell>
          <cell r="I73">
            <v>13.4</v>
          </cell>
        </row>
        <row r="74">
          <cell r="F74">
            <v>76.599999999999994</v>
          </cell>
          <cell r="G74">
            <v>42.3</v>
          </cell>
          <cell r="H74">
            <v>2.5</v>
          </cell>
          <cell r="I74">
            <v>16.3</v>
          </cell>
        </row>
        <row r="75">
          <cell r="F75">
            <v>91.6</v>
          </cell>
          <cell r="G75">
            <v>26.1</v>
          </cell>
          <cell r="H75">
            <v>7.1</v>
          </cell>
          <cell r="I75">
            <v>19.5</v>
          </cell>
        </row>
        <row r="76">
          <cell r="F76">
            <v>51.3</v>
          </cell>
          <cell r="G76">
            <v>43.3</v>
          </cell>
          <cell r="H76">
            <v>4.9000000000000004</v>
          </cell>
          <cell r="I76">
            <v>11.8</v>
          </cell>
        </row>
        <row r="77">
          <cell r="F77">
            <v>58.6</v>
          </cell>
          <cell r="G77">
            <v>22.3</v>
          </cell>
          <cell r="H77">
            <v>0.1</v>
          </cell>
          <cell r="I77">
            <v>12</v>
          </cell>
        </row>
        <row r="78">
          <cell r="F78">
            <v>69.3</v>
          </cell>
          <cell r="G78">
            <v>19.100000000000001</v>
          </cell>
          <cell r="H78">
            <v>0.1</v>
          </cell>
          <cell r="I78">
            <v>18.5</v>
          </cell>
        </row>
        <row r="79">
          <cell r="F79">
            <v>34.700000000000003</v>
          </cell>
          <cell r="G79">
            <v>33</v>
          </cell>
          <cell r="H79">
            <v>5.9</v>
          </cell>
          <cell r="I79">
            <v>8.4</v>
          </cell>
        </row>
        <row r="80">
          <cell r="F80">
            <v>55.5</v>
          </cell>
          <cell r="G80">
            <v>14.2</v>
          </cell>
          <cell r="H80">
            <v>0</v>
          </cell>
          <cell r="I80">
            <v>11.6</v>
          </cell>
        </row>
        <row r="81">
          <cell r="F81">
            <v>93.1</v>
          </cell>
          <cell r="G81">
            <v>19.3</v>
          </cell>
          <cell r="H81">
            <v>0.1</v>
          </cell>
          <cell r="I81">
            <v>10.5</v>
          </cell>
        </row>
        <row r="82">
          <cell r="F82">
            <v>62.5</v>
          </cell>
          <cell r="G82">
            <v>15.6</v>
          </cell>
          <cell r="H82">
            <v>1</v>
          </cell>
          <cell r="I82">
            <v>13.7</v>
          </cell>
        </row>
        <row r="83">
          <cell r="F83">
            <v>78.3</v>
          </cell>
          <cell r="G83">
            <v>52.2</v>
          </cell>
          <cell r="H83">
            <v>11.4</v>
          </cell>
          <cell r="I83">
            <v>7.7</v>
          </cell>
        </row>
        <row r="84">
          <cell r="F84">
            <v>82.5</v>
          </cell>
          <cell r="G84">
            <v>38</v>
          </cell>
          <cell r="H84">
            <v>15</v>
          </cell>
          <cell r="I84">
            <v>7.8</v>
          </cell>
        </row>
        <row r="85">
          <cell r="F85">
            <v>90.8</v>
          </cell>
          <cell r="G85">
            <v>76.5</v>
          </cell>
          <cell r="H85">
            <v>12.8</v>
          </cell>
          <cell r="I85">
            <v>7.7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"/>
  <sheetViews>
    <sheetView tabSelected="1" workbookViewId="0"/>
  </sheetViews>
  <sheetFormatPr baseColWidth="10" defaultColWidth="9.109375" defaultRowHeight="14.4" x14ac:dyDescent="0.3"/>
  <cols>
    <col min="17" max="17" width="16.8867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>
        <v>335811</v>
      </c>
      <c r="F2">
        <v>340582</v>
      </c>
      <c r="G2">
        <v>344374</v>
      </c>
      <c r="H2">
        <v>347730</v>
      </c>
      <c r="I2">
        <v>350915</v>
      </c>
      <c r="J2">
        <v>353982</v>
      </c>
      <c r="K2">
        <v>356985</v>
      </c>
      <c r="L2">
        <v>359982</v>
      </c>
      <c r="M2">
        <v>362958</v>
      </c>
      <c r="N2">
        <v>27147</v>
      </c>
      <c r="O2">
        <v>8.0840115422067704</v>
      </c>
      <c r="P2">
        <v>0.97646944558857918</v>
      </c>
      <c r="Q2">
        <v>16.637292107189559</v>
      </c>
      <c r="R2">
        <v>6.4596532132944224</v>
      </c>
      <c r="S2">
        <v>1</v>
      </c>
    </row>
    <row r="3" spans="1:19" x14ac:dyDescent="0.3">
      <c r="A3" t="s">
        <v>23</v>
      </c>
      <c r="B3" t="s">
        <v>20</v>
      </c>
      <c r="C3" t="s">
        <v>21</v>
      </c>
      <c r="D3" t="s">
        <v>24</v>
      </c>
      <c r="E3">
        <v>211809</v>
      </c>
      <c r="F3">
        <v>220624</v>
      </c>
      <c r="G3">
        <v>229115</v>
      </c>
      <c r="H3">
        <v>235832</v>
      </c>
      <c r="I3">
        <v>242202</v>
      </c>
      <c r="J3">
        <v>129189</v>
      </c>
      <c r="K3">
        <v>131727</v>
      </c>
      <c r="L3">
        <v>134258</v>
      </c>
      <c r="M3">
        <v>136781</v>
      </c>
      <c r="N3">
        <v>-75028</v>
      </c>
      <c r="O3">
        <v>-35.422479686887719</v>
      </c>
      <c r="P3">
        <v>-5.3195811322714546</v>
      </c>
      <c r="Q3">
        <v>6.2697762598248161</v>
      </c>
      <c r="R3">
        <v>2.1240958130894549</v>
      </c>
      <c r="S3">
        <v>3</v>
      </c>
    </row>
    <row r="4" spans="1:19" x14ac:dyDescent="0.3">
      <c r="A4" t="s">
        <v>25</v>
      </c>
      <c r="B4" t="s">
        <v>20</v>
      </c>
      <c r="C4" t="s">
        <v>21</v>
      </c>
      <c r="D4" t="s">
        <v>26</v>
      </c>
      <c r="E4">
        <v>38506</v>
      </c>
      <c r="F4">
        <v>38475</v>
      </c>
      <c r="G4">
        <v>38334</v>
      </c>
      <c r="H4">
        <v>38107</v>
      </c>
      <c r="I4">
        <v>37879</v>
      </c>
      <c r="J4">
        <v>62844</v>
      </c>
      <c r="K4">
        <v>64079</v>
      </c>
      <c r="L4">
        <v>65310</v>
      </c>
      <c r="M4">
        <v>66537</v>
      </c>
      <c r="N4">
        <v>28031</v>
      </c>
      <c r="O4">
        <v>72.796447306913208</v>
      </c>
      <c r="P4">
        <v>7.0759290201549252</v>
      </c>
      <c r="Q4">
        <v>3.049927277911141</v>
      </c>
      <c r="R4">
        <v>0.77759774290549455</v>
      </c>
      <c r="S4">
        <v>8</v>
      </c>
    </row>
    <row r="5" spans="1:19" x14ac:dyDescent="0.3">
      <c r="A5" t="s">
        <v>27</v>
      </c>
      <c r="B5" t="s">
        <v>20</v>
      </c>
      <c r="C5" t="s">
        <v>21</v>
      </c>
      <c r="D5" t="s">
        <v>28</v>
      </c>
      <c r="E5">
        <v>78375</v>
      </c>
      <c r="F5">
        <v>82792</v>
      </c>
      <c r="G5">
        <v>87192</v>
      </c>
      <c r="H5">
        <v>90609</v>
      </c>
      <c r="I5">
        <v>93851</v>
      </c>
      <c r="J5">
        <v>96971</v>
      </c>
      <c r="K5">
        <v>100027</v>
      </c>
      <c r="L5">
        <v>103075</v>
      </c>
      <c r="M5">
        <v>106117</v>
      </c>
      <c r="N5">
        <v>27742</v>
      </c>
      <c r="O5">
        <v>35.396491228070182</v>
      </c>
      <c r="P5">
        <v>3.8606236890796448</v>
      </c>
      <c r="Q5">
        <v>4.8641978590873736</v>
      </c>
      <c r="R5">
        <v>1.536301598293587</v>
      </c>
      <c r="S5">
        <v>4</v>
      </c>
    </row>
    <row r="6" spans="1:19" x14ac:dyDescent="0.3">
      <c r="A6" t="s">
        <v>29</v>
      </c>
      <c r="B6" t="s">
        <v>20</v>
      </c>
      <c r="C6" t="s">
        <v>21</v>
      </c>
      <c r="D6" t="s">
        <v>30</v>
      </c>
      <c r="E6">
        <v>210654</v>
      </c>
      <c r="F6">
        <v>217756</v>
      </c>
      <c r="G6">
        <v>224427</v>
      </c>
      <c r="H6">
        <v>229779</v>
      </c>
      <c r="I6">
        <v>234854</v>
      </c>
      <c r="J6">
        <v>239896</v>
      </c>
      <c r="K6">
        <v>244607</v>
      </c>
      <c r="L6">
        <v>249310</v>
      </c>
      <c r="M6">
        <v>253998</v>
      </c>
      <c r="N6">
        <v>43344</v>
      </c>
      <c r="O6">
        <v>20.575920704092979</v>
      </c>
      <c r="P6">
        <v>2.3664337003393099</v>
      </c>
      <c r="Q6">
        <v>11.64277663157152</v>
      </c>
      <c r="R6">
        <v>4.3710131909829881</v>
      </c>
      <c r="S6">
        <v>2</v>
      </c>
    </row>
    <row r="7" spans="1:19" x14ac:dyDescent="0.3">
      <c r="A7" t="s">
        <v>31</v>
      </c>
      <c r="B7" t="s">
        <v>20</v>
      </c>
      <c r="C7" t="s">
        <v>21</v>
      </c>
      <c r="D7" t="s">
        <v>32</v>
      </c>
      <c r="E7">
        <v>41158</v>
      </c>
      <c r="F7">
        <v>42144</v>
      </c>
      <c r="G7">
        <v>43024</v>
      </c>
      <c r="H7">
        <v>43750</v>
      </c>
      <c r="I7">
        <v>44440</v>
      </c>
      <c r="J7">
        <v>54577</v>
      </c>
      <c r="K7">
        <v>55649</v>
      </c>
      <c r="L7">
        <v>56718</v>
      </c>
      <c r="M7">
        <v>57784</v>
      </c>
      <c r="N7">
        <v>16626</v>
      </c>
      <c r="O7">
        <v>40.395548860488837</v>
      </c>
      <c r="P7">
        <v>4.3323927041904797</v>
      </c>
      <c r="Q7">
        <v>2.6487067019375292</v>
      </c>
      <c r="R7">
        <v>0.60981262804415115</v>
      </c>
      <c r="S7">
        <v>10</v>
      </c>
    </row>
    <row r="8" spans="1:19" x14ac:dyDescent="0.3">
      <c r="A8" t="s">
        <v>33</v>
      </c>
      <c r="B8" t="s">
        <v>20</v>
      </c>
      <c r="C8" t="s">
        <v>21</v>
      </c>
      <c r="D8" t="s">
        <v>34</v>
      </c>
      <c r="E8">
        <v>40336</v>
      </c>
      <c r="F8">
        <v>41610</v>
      </c>
      <c r="G8">
        <v>42798</v>
      </c>
      <c r="H8">
        <v>43755</v>
      </c>
      <c r="I8">
        <v>44663</v>
      </c>
      <c r="J8">
        <v>45537</v>
      </c>
      <c r="K8">
        <v>46392</v>
      </c>
      <c r="L8">
        <v>47246</v>
      </c>
      <c r="M8">
        <v>48097</v>
      </c>
      <c r="N8">
        <v>7761</v>
      </c>
      <c r="O8">
        <v>19.24087663625544</v>
      </c>
      <c r="P8">
        <v>2.2240645504323808</v>
      </c>
      <c r="Q8">
        <v>2.2046733739978079</v>
      </c>
      <c r="R8">
        <v>0.42412378905616599</v>
      </c>
      <c r="S8">
        <v>12</v>
      </c>
    </row>
    <row r="9" spans="1:19" x14ac:dyDescent="0.3">
      <c r="A9" t="s">
        <v>35</v>
      </c>
      <c r="B9" t="s">
        <v>20</v>
      </c>
      <c r="C9" t="s">
        <v>21</v>
      </c>
      <c r="D9" t="s">
        <v>36</v>
      </c>
      <c r="E9">
        <v>3866</v>
      </c>
      <c r="F9">
        <v>3900</v>
      </c>
      <c r="G9">
        <v>3924</v>
      </c>
      <c r="H9">
        <v>3947</v>
      </c>
      <c r="I9">
        <v>3969</v>
      </c>
      <c r="J9">
        <v>3990</v>
      </c>
      <c r="K9">
        <v>4010</v>
      </c>
      <c r="L9">
        <v>4032</v>
      </c>
      <c r="M9">
        <v>4054</v>
      </c>
      <c r="N9">
        <v>188</v>
      </c>
      <c r="O9">
        <v>4.8629073978272208</v>
      </c>
      <c r="P9">
        <v>0.59531081411785536</v>
      </c>
      <c r="Q9">
        <v>0.18582751228116329</v>
      </c>
      <c r="R9">
        <v>-0.42013073097561149</v>
      </c>
      <c r="S9">
        <v>61</v>
      </c>
    </row>
    <row r="10" spans="1:19" x14ac:dyDescent="0.3">
      <c r="A10" t="s">
        <v>37</v>
      </c>
      <c r="B10" t="s">
        <v>20</v>
      </c>
      <c r="C10" t="s">
        <v>21</v>
      </c>
      <c r="D10" t="s">
        <v>38</v>
      </c>
      <c r="E10">
        <v>20983</v>
      </c>
      <c r="F10">
        <v>21866</v>
      </c>
      <c r="G10">
        <v>22717</v>
      </c>
      <c r="H10">
        <v>23390</v>
      </c>
      <c r="I10">
        <v>24028</v>
      </c>
      <c r="J10">
        <v>24643</v>
      </c>
      <c r="K10">
        <v>25244</v>
      </c>
      <c r="L10">
        <v>25844</v>
      </c>
      <c r="M10">
        <v>26442</v>
      </c>
      <c r="N10">
        <v>5459</v>
      </c>
      <c r="O10">
        <v>26.016298908640319</v>
      </c>
      <c r="P10">
        <v>2.9326941329565148</v>
      </c>
      <c r="Q10">
        <v>1.212050093670084</v>
      </c>
      <c r="R10">
        <v>9.0219197173802071E-3</v>
      </c>
      <c r="S10">
        <v>20</v>
      </c>
    </row>
    <row r="11" spans="1:19" x14ac:dyDescent="0.3">
      <c r="A11" t="s">
        <v>39</v>
      </c>
      <c r="B11" t="s">
        <v>20</v>
      </c>
      <c r="C11" t="s">
        <v>21</v>
      </c>
      <c r="D11" t="s">
        <v>40</v>
      </c>
      <c r="E11">
        <v>4437</v>
      </c>
      <c r="F11">
        <v>4482</v>
      </c>
      <c r="G11">
        <v>4515</v>
      </c>
      <c r="H11">
        <v>4546</v>
      </c>
      <c r="I11">
        <v>4575</v>
      </c>
      <c r="J11">
        <v>4603</v>
      </c>
      <c r="K11">
        <v>4631</v>
      </c>
      <c r="L11">
        <v>4658</v>
      </c>
      <c r="M11">
        <v>4685</v>
      </c>
      <c r="N11">
        <v>248</v>
      </c>
      <c r="O11">
        <v>5.5893621816542671</v>
      </c>
      <c r="P11">
        <v>0.68215921979137839</v>
      </c>
      <c r="Q11">
        <v>0.21475133079359901</v>
      </c>
      <c r="R11">
        <v>-0.40803517431189529</v>
      </c>
      <c r="S11">
        <v>56</v>
      </c>
    </row>
    <row r="12" spans="1:19" x14ac:dyDescent="0.3">
      <c r="A12" t="s">
        <v>41</v>
      </c>
      <c r="B12" t="s">
        <v>20</v>
      </c>
      <c r="C12" t="s">
        <v>21</v>
      </c>
      <c r="D12" t="s">
        <v>42</v>
      </c>
      <c r="E12">
        <v>74095</v>
      </c>
      <c r="F12">
        <v>76283</v>
      </c>
      <c r="G12">
        <v>78304</v>
      </c>
      <c r="H12">
        <v>79941</v>
      </c>
      <c r="I12">
        <v>81494</v>
      </c>
      <c r="J12">
        <v>82988</v>
      </c>
      <c r="K12">
        <v>84452</v>
      </c>
      <c r="L12">
        <v>85912</v>
      </c>
      <c r="M12">
        <v>87367</v>
      </c>
      <c r="N12">
        <v>13272</v>
      </c>
      <c r="O12">
        <v>17.912139820500709</v>
      </c>
      <c r="P12">
        <v>2.0809763294641348</v>
      </c>
      <c r="Q12">
        <v>4.0047341552709419</v>
      </c>
      <c r="R12">
        <v>1.176885294894731</v>
      </c>
      <c r="S12">
        <v>7</v>
      </c>
    </row>
    <row r="13" spans="1:19" x14ac:dyDescent="0.3">
      <c r="A13" t="s">
        <v>43</v>
      </c>
      <c r="B13" t="s">
        <v>20</v>
      </c>
      <c r="C13" t="s">
        <v>21</v>
      </c>
      <c r="D13" t="s">
        <v>44</v>
      </c>
      <c r="J13">
        <v>84323</v>
      </c>
      <c r="K13">
        <v>85980</v>
      </c>
      <c r="L13">
        <v>87632</v>
      </c>
      <c r="M13">
        <v>89279</v>
      </c>
      <c r="Q13">
        <v>4.0923765340281157</v>
      </c>
      <c r="R13">
        <v>1.213536173406657</v>
      </c>
      <c r="S13">
        <v>6</v>
      </c>
    </row>
    <row r="14" spans="1:19" x14ac:dyDescent="0.3">
      <c r="A14" t="s">
        <v>45</v>
      </c>
      <c r="B14" t="s">
        <v>20</v>
      </c>
      <c r="C14" t="s">
        <v>46</v>
      </c>
      <c r="D14" t="s">
        <v>47</v>
      </c>
      <c r="E14">
        <v>6858</v>
      </c>
      <c r="F14">
        <v>6865</v>
      </c>
      <c r="G14">
        <v>6855</v>
      </c>
      <c r="H14">
        <v>6866</v>
      </c>
      <c r="I14">
        <v>6868</v>
      </c>
      <c r="J14">
        <v>6863</v>
      </c>
      <c r="K14">
        <v>6856</v>
      </c>
      <c r="L14">
        <v>6848</v>
      </c>
      <c r="M14">
        <v>6840</v>
      </c>
      <c r="N14">
        <v>-18</v>
      </c>
      <c r="O14">
        <v>-0.2624671916010457</v>
      </c>
      <c r="P14">
        <v>-3.2846134554076478E-2</v>
      </c>
      <c r="Q14">
        <v>0.31353235915223421</v>
      </c>
      <c r="R14">
        <v>-0.36672626050792012</v>
      </c>
      <c r="S14">
        <v>48</v>
      </c>
    </row>
    <row r="15" spans="1:19" x14ac:dyDescent="0.3">
      <c r="A15" t="s">
        <v>48</v>
      </c>
      <c r="B15" t="s">
        <v>20</v>
      </c>
      <c r="C15" t="s">
        <v>46</v>
      </c>
      <c r="D15" t="s">
        <v>49</v>
      </c>
      <c r="E15">
        <v>15849</v>
      </c>
      <c r="F15">
        <v>15979</v>
      </c>
      <c r="G15">
        <v>16065</v>
      </c>
      <c r="H15">
        <v>16135</v>
      </c>
      <c r="I15">
        <v>16180</v>
      </c>
      <c r="J15">
        <v>16208</v>
      </c>
      <c r="K15">
        <v>16227</v>
      </c>
      <c r="L15">
        <v>16245</v>
      </c>
      <c r="M15">
        <v>16262</v>
      </c>
      <c r="N15">
        <v>413</v>
      </c>
      <c r="O15">
        <v>2.605842639914191</v>
      </c>
      <c r="P15">
        <v>0.32207619107438301</v>
      </c>
      <c r="Q15">
        <v>0.74541860007801641</v>
      </c>
      <c r="R15">
        <v>-0.1861171719413055</v>
      </c>
      <c r="S15">
        <v>27</v>
      </c>
    </row>
    <row r="16" spans="1:19" x14ac:dyDescent="0.3">
      <c r="A16" t="s">
        <v>50</v>
      </c>
      <c r="B16" t="s">
        <v>20</v>
      </c>
      <c r="C16" t="s">
        <v>46</v>
      </c>
      <c r="D16" t="s">
        <v>51</v>
      </c>
      <c r="E16">
        <v>9828</v>
      </c>
      <c r="F16">
        <v>9831</v>
      </c>
      <c r="G16">
        <v>9807</v>
      </c>
      <c r="H16">
        <v>9815</v>
      </c>
      <c r="I16">
        <v>9808</v>
      </c>
      <c r="J16">
        <v>9791</v>
      </c>
      <c r="K16">
        <v>9768</v>
      </c>
      <c r="L16">
        <v>9743</v>
      </c>
      <c r="M16">
        <v>9717</v>
      </c>
      <c r="N16">
        <v>-111</v>
      </c>
      <c r="O16">
        <v>-1.129426129426125</v>
      </c>
      <c r="P16">
        <v>-0.1418808263716653</v>
      </c>
      <c r="Q16">
        <v>0.44540846986582738</v>
      </c>
      <c r="R16">
        <v>-0.3115774229143996</v>
      </c>
      <c r="S16">
        <v>43</v>
      </c>
    </row>
    <row r="17" spans="1:19" x14ac:dyDescent="0.3">
      <c r="A17" t="s">
        <v>52</v>
      </c>
      <c r="B17" t="s">
        <v>20</v>
      </c>
      <c r="C17" t="s">
        <v>46</v>
      </c>
      <c r="D17" t="s">
        <v>53</v>
      </c>
      <c r="E17">
        <v>2694</v>
      </c>
      <c r="F17">
        <v>2685</v>
      </c>
      <c r="G17">
        <v>2669</v>
      </c>
      <c r="H17">
        <v>2664</v>
      </c>
      <c r="I17">
        <v>2652</v>
      </c>
      <c r="J17">
        <v>2638</v>
      </c>
      <c r="K17">
        <v>2623</v>
      </c>
      <c r="L17">
        <v>2609</v>
      </c>
      <c r="M17">
        <v>2595</v>
      </c>
      <c r="N17">
        <v>-99</v>
      </c>
      <c r="O17">
        <v>-3.674832962138086</v>
      </c>
      <c r="P17">
        <v>-0.46691357075557832</v>
      </c>
      <c r="Q17">
        <v>0.1189497766081941</v>
      </c>
      <c r="R17">
        <v>-0.44809811159742119</v>
      </c>
      <c r="S17">
        <v>70</v>
      </c>
    </row>
    <row r="18" spans="1:19" x14ac:dyDescent="0.3">
      <c r="A18" t="s">
        <v>54</v>
      </c>
      <c r="B18" t="s">
        <v>20</v>
      </c>
      <c r="C18" t="s">
        <v>46</v>
      </c>
      <c r="D18" t="s">
        <v>55</v>
      </c>
      <c r="E18">
        <v>27827</v>
      </c>
      <c r="F18">
        <v>28396</v>
      </c>
      <c r="G18">
        <v>28894</v>
      </c>
      <c r="H18">
        <v>29370</v>
      </c>
      <c r="I18">
        <v>29804</v>
      </c>
      <c r="J18">
        <v>30212</v>
      </c>
      <c r="K18">
        <v>30586</v>
      </c>
      <c r="L18">
        <v>30960</v>
      </c>
      <c r="M18">
        <v>31332</v>
      </c>
      <c r="N18">
        <v>3505</v>
      </c>
      <c r="O18">
        <v>12.59568045423509</v>
      </c>
      <c r="P18">
        <v>1.493964319165864</v>
      </c>
      <c r="Q18">
        <v>1.4361982276254091</v>
      </c>
      <c r="R18">
        <v>0.1027576916438019</v>
      </c>
      <c r="S18">
        <v>16</v>
      </c>
    </row>
    <row r="19" spans="1:19" x14ac:dyDescent="0.3">
      <c r="A19" t="s">
        <v>56</v>
      </c>
      <c r="B19" t="s">
        <v>20</v>
      </c>
      <c r="C19" t="s">
        <v>46</v>
      </c>
      <c r="D19" t="s">
        <v>57</v>
      </c>
      <c r="E19">
        <v>9204</v>
      </c>
      <c r="F19">
        <v>9322</v>
      </c>
      <c r="G19">
        <v>9415</v>
      </c>
      <c r="H19">
        <v>9500</v>
      </c>
      <c r="I19">
        <v>9572</v>
      </c>
      <c r="J19">
        <v>9632</v>
      </c>
      <c r="K19">
        <v>9688</v>
      </c>
      <c r="L19">
        <v>9745</v>
      </c>
      <c r="M19">
        <v>9801</v>
      </c>
      <c r="N19">
        <v>597</v>
      </c>
      <c r="O19">
        <v>6.4863102998696132</v>
      </c>
      <c r="P19">
        <v>0.78867187478588452</v>
      </c>
      <c r="Q19">
        <v>0.449258867258925</v>
      </c>
      <c r="R19">
        <v>-0.30996723787517272</v>
      </c>
      <c r="S19">
        <v>42</v>
      </c>
    </row>
    <row r="20" spans="1:19" x14ac:dyDescent="0.3">
      <c r="A20" t="s">
        <v>58</v>
      </c>
      <c r="B20" t="s">
        <v>20</v>
      </c>
      <c r="C20" t="s">
        <v>46</v>
      </c>
      <c r="D20" t="s">
        <v>59</v>
      </c>
      <c r="E20">
        <v>19871</v>
      </c>
      <c r="F20">
        <v>19950</v>
      </c>
      <c r="G20">
        <v>19973</v>
      </c>
      <c r="H20">
        <v>20061</v>
      </c>
      <c r="I20">
        <v>20118</v>
      </c>
      <c r="J20">
        <v>20154</v>
      </c>
      <c r="K20">
        <v>20180</v>
      </c>
      <c r="L20">
        <v>20204</v>
      </c>
      <c r="M20">
        <v>20227</v>
      </c>
      <c r="N20">
        <v>356</v>
      </c>
      <c r="O20">
        <v>1.79155553318906</v>
      </c>
      <c r="P20">
        <v>0.2222085574339783</v>
      </c>
      <c r="Q20">
        <v>0.92716652464506444</v>
      </c>
      <c r="R20">
        <v>-0.11011260431589399</v>
      </c>
      <c r="S20">
        <v>25</v>
      </c>
    </row>
    <row r="21" spans="1:19" x14ac:dyDescent="0.3">
      <c r="A21" t="s">
        <v>60</v>
      </c>
      <c r="B21" t="s">
        <v>20</v>
      </c>
      <c r="C21" t="s">
        <v>46</v>
      </c>
      <c r="D21" t="s">
        <v>61</v>
      </c>
      <c r="E21">
        <v>29719</v>
      </c>
      <c r="F21">
        <v>29803</v>
      </c>
      <c r="G21">
        <v>29802</v>
      </c>
      <c r="H21">
        <v>29897</v>
      </c>
      <c r="I21">
        <v>29942</v>
      </c>
      <c r="J21">
        <v>29956</v>
      </c>
      <c r="K21">
        <v>29970</v>
      </c>
      <c r="L21">
        <v>29984</v>
      </c>
      <c r="M21">
        <v>29996</v>
      </c>
      <c r="N21">
        <v>277</v>
      </c>
      <c r="O21">
        <v>0.93206366297655663</v>
      </c>
      <c r="P21">
        <v>0.11603561342508061</v>
      </c>
      <c r="Q21">
        <v>1.3749585738494761</v>
      </c>
      <c r="R21">
        <v>7.7148081972288757E-2</v>
      </c>
      <c r="S21">
        <v>17</v>
      </c>
    </row>
    <row r="22" spans="1:19" x14ac:dyDescent="0.3">
      <c r="A22" t="s">
        <v>62</v>
      </c>
      <c r="B22" t="s">
        <v>20</v>
      </c>
      <c r="C22" t="s">
        <v>63</v>
      </c>
      <c r="D22" t="s">
        <v>64</v>
      </c>
      <c r="E22">
        <v>4969</v>
      </c>
      <c r="F22">
        <v>5006</v>
      </c>
      <c r="G22">
        <v>5031</v>
      </c>
      <c r="H22">
        <v>5062</v>
      </c>
      <c r="I22">
        <v>5083</v>
      </c>
      <c r="J22">
        <v>5100</v>
      </c>
      <c r="K22">
        <v>5116</v>
      </c>
      <c r="L22">
        <v>5133</v>
      </c>
      <c r="M22">
        <v>5145</v>
      </c>
      <c r="N22">
        <v>176</v>
      </c>
      <c r="O22">
        <v>3.5419601529482758</v>
      </c>
      <c r="P22">
        <v>0.43603232492710481</v>
      </c>
      <c r="Q22">
        <v>0.23583684032722879</v>
      </c>
      <c r="R22">
        <v>-0.39921749433517673</v>
      </c>
      <c r="S22">
        <v>55</v>
      </c>
    </row>
    <row r="23" spans="1:19" x14ac:dyDescent="0.3">
      <c r="A23" t="s">
        <v>65</v>
      </c>
      <c r="B23" t="s">
        <v>20</v>
      </c>
      <c r="C23" t="s">
        <v>63</v>
      </c>
      <c r="D23" t="s">
        <v>66</v>
      </c>
      <c r="E23">
        <v>3205</v>
      </c>
      <c r="F23">
        <v>3187</v>
      </c>
      <c r="G23">
        <v>3159</v>
      </c>
      <c r="H23">
        <v>3136</v>
      </c>
      <c r="I23">
        <v>3109</v>
      </c>
      <c r="J23">
        <v>3080</v>
      </c>
      <c r="K23">
        <v>3048</v>
      </c>
      <c r="L23">
        <v>3016</v>
      </c>
      <c r="M23">
        <v>2986</v>
      </c>
      <c r="N23">
        <v>-219</v>
      </c>
      <c r="O23">
        <v>-6.8330733229329148</v>
      </c>
      <c r="P23">
        <v>-0.88081528241106266</v>
      </c>
      <c r="Q23">
        <v>0.13687245971177939</v>
      </c>
      <c r="R23">
        <v>-0.4406030836172104</v>
      </c>
      <c r="S23">
        <v>66</v>
      </c>
    </row>
    <row r="24" spans="1:19" x14ac:dyDescent="0.3">
      <c r="A24" t="s">
        <v>67</v>
      </c>
      <c r="B24" t="s">
        <v>20</v>
      </c>
      <c r="C24" t="s">
        <v>63</v>
      </c>
      <c r="D24" t="s">
        <v>68</v>
      </c>
      <c r="E24">
        <v>2148</v>
      </c>
      <c r="F24">
        <v>2148</v>
      </c>
      <c r="G24">
        <v>2143</v>
      </c>
      <c r="H24">
        <v>2140</v>
      </c>
      <c r="I24">
        <v>2135</v>
      </c>
      <c r="J24">
        <v>2128</v>
      </c>
      <c r="K24">
        <v>2119</v>
      </c>
      <c r="L24">
        <v>2110</v>
      </c>
      <c r="M24">
        <v>2101</v>
      </c>
      <c r="N24">
        <v>-47</v>
      </c>
      <c r="O24">
        <v>-2.1880819366852928</v>
      </c>
      <c r="P24">
        <v>-0.2761648960145302</v>
      </c>
      <c r="Q24">
        <v>9.6305772891643854E-2</v>
      </c>
      <c r="R24">
        <v>-0.45756753313763637</v>
      </c>
      <c r="S24">
        <v>77</v>
      </c>
    </row>
    <row r="25" spans="1:19" x14ac:dyDescent="0.3">
      <c r="A25" t="s">
        <v>69</v>
      </c>
      <c r="B25" t="s">
        <v>20</v>
      </c>
      <c r="C25" t="s">
        <v>63</v>
      </c>
      <c r="D25" t="s">
        <v>70</v>
      </c>
      <c r="E25">
        <v>2336</v>
      </c>
      <c r="F25">
        <v>2347</v>
      </c>
      <c r="G25">
        <v>2350</v>
      </c>
      <c r="H25">
        <v>2353</v>
      </c>
      <c r="I25">
        <v>2357</v>
      </c>
      <c r="J25">
        <v>2362</v>
      </c>
      <c r="K25">
        <v>2366</v>
      </c>
      <c r="L25">
        <v>2372</v>
      </c>
      <c r="M25">
        <v>2378</v>
      </c>
      <c r="N25">
        <v>42</v>
      </c>
      <c r="O25">
        <v>1.7979452054794449</v>
      </c>
      <c r="P25">
        <v>0.22299493096886719</v>
      </c>
      <c r="Q25">
        <v>0.1090029166760253</v>
      </c>
      <c r="R25">
        <v>-0.45225775628209058</v>
      </c>
      <c r="S25">
        <v>71</v>
      </c>
    </row>
    <row r="26" spans="1:19" x14ac:dyDescent="0.3">
      <c r="A26" t="s">
        <v>71</v>
      </c>
      <c r="B26" t="s">
        <v>20</v>
      </c>
      <c r="C26" t="s">
        <v>63</v>
      </c>
      <c r="D26" t="s">
        <v>72</v>
      </c>
      <c r="E26">
        <v>2460</v>
      </c>
      <c r="F26">
        <v>2432</v>
      </c>
      <c r="G26">
        <v>2396</v>
      </c>
      <c r="H26">
        <v>2364</v>
      </c>
      <c r="I26">
        <v>2330</v>
      </c>
      <c r="J26">
        <v>2294</v>
      </c>
      <c r="K26">
        <v>2257</v>
      </c>
      <c r="L26">
        <v>2220</v>
      </c>
      <c r="M26">
        <v>2184</v>
      </c>
      <c r="N26">
        <v>-276</v>
      </c>
      <c r="O26">
        <v>-11.219512195121951</v>
      </c>
      <c r="P26">
        <v>-1.476531913972168</v>
      </c>
      <c r="Q26">
        <v>0.1001103322205379</v>
      </c>
      <c r="R26">
        <v>-0.45597651696792407</v>
      </c>
      <c r="S26">
        <v>75</v>
      </c>
    </row>
    <row r="27" spans="1:19" x14ac:dyDescent="0.3">
      <c r="A27" t="s">
        <v>73</v>
      </c>
      <c r="B27" t="s">
        <v>20</v>
      </c>
      <c r="C27" t="s">
        <v>63</v>
      </c>
      <c r="D27" t="s">
        <v>74</v>
      </c>
      <c r="E27">
        <v>907</v>
      </c>
      <c r="F27">
        <v>906</v>
      </c>
      <c r="G27">
        <v>903</v>
      </c>
      <c r="H27">
        <v>902</v>
      </c>
      <c r="I27">
        <v>899</v>
      </c>
      <c r="J27">
        <v>895</v>
      </c>
      <c r="K27">
        <v>891</v>
      </c>
      <c r="L27">
        <v>887</v>
      </c>
      <c r="M27">
        <v>882</v>
      </c>
      <c r="N27">
        <v>-25</v>
      </c>
      <c r="O27">
        <v>-2.7563395810363822</v>
      </c>
      <c r="P27">
        <v>-0.34877030486132332</v>
      </c>
      <c r="Q27">
        <v>4.0429172627524927E-2</v>
      </c>
      <c r="R27">
        <v>-0.48093438507594072</v>
      </c>
      <c r="S27">
        <v>82</v>
      </c>
    </row>
    <row r="28" spans="1:19" x14ac:dyDescent="0.3">
      <c r="A28" t="s">
        <v>75</v>
      </c>
      <c r="B28" t="s">
        <v>20</v>
      </c>
      <c r="C28" t="s">
        <v>76</v>
      </c>
      <c r="D28" t="s">
        <v>77</v>
      </c>
      <c r="E28">
        <v>48238</v>
      </c>
      <c r="F28">
        <v>48644</v>
      </c>
      <c r="G28">
        <v>48917</v>
      </c>
      <c r="H28">
        <v>49231</v>
      </c>
      <c r="I28">
        <v>49489</v>
      </c>
      <c r="J28">
        <v>49711</v>
      </c>
      <c r="K28">
        <v>49914</v>
      </c>
      <c r="L28">
        <v>50115</v>
      </c>
      <c r="M28">
        <v>50314</v>
      </c>
      <c r="N28">
        <v>2076</v>
      </c>
      <c r="O28">
        <v>4.3036610141382381</v>
      </c>
      <c r="P28">
        <v>0.52809297373213049</v>
      </c>
      <c r="Q28">
        <v>2.3062963623370631</v>
      </c>
      <c r="R28">
        <v>0.46662117277004678</v>
      </c>
      <c r="S28">
        <v>11</v>
      </c>
    </row>
    <row r="29" spans="1:19" x14ac:dyDescent="0.3">
      <c r="A29" t="s">
        <v>78</v>
      </c>
      <c r="B29" t="s">
        <v>20</v>
      </c>
      <c r="C29" t="s">
        <v>76</v>
      </c>
      <c r="D29" t="s">
        <v>79</v>
      </c>
      <c r="E29">
        <v>23447</v>
      </c>
      <c r="F29">
        <v>24114</v>
      </c>
      <c r="G29">
        <v>24727</v>
      </c>
      <c r="H29">
        <v>25318</v>
      </c>
      <c r="I29">
        <v>25806</v>
      </c>
      <c r="J29">
        <v>26225</v>
      </c>
      <c r="K29">
        <v>26606</v>
      </c>
      <c r="L29">
        <v>26986</v>
      </c>
      <c r="M29">
        <v>27360</v>
      </c>
      <c r="N29">
        <v>3913</v>
      </c>
      <c r="O29">
        <v>16.688702179383299</v>
      </c>
      <c r="P29">
        <v>1.9479743954123001</v>
      </c>
      <c r="Q29">
        <v>1.2541294366089371</v>
      </c>
      <c r="R29">
        <v>2.6618941931788209E-2</v>
      </c>
      <c r="S29">
        <v>19</v>
      </c>
    </row>
    <row r="30" spans="1:19" x14ac:dyDescent="0.3">
      <c r="A30" t="s">
        <v>80</v>
      </c>
      <c r="B30" t="s">
        <v>20</v>
      </c>
      <c r="C30" t="s">
        <v>76</v>
      </c>
      <c r="D30" t="s">
        <v>81</v>
      </c>
      <c r="E30">
        <v>12661</v>
      </c>
      <c r="F30">
        <v>12732</v>
      </c>
      <c r="G30">
        <v>12767</v>
      </c>
      <c r="H30">
        <v>12816</v>
      </c>
      <c r="I30">
        <v>12857</v>
      </c>
      <c r="J30">
        <v>12891</v>
      </c>
      <c r="K30">
        <v>12923</v>
      </c>
      <c r="L30">
        <v>12954</v>
      </c>
      <c r="M30">
        <v>12985</v>
      </c>
      <c r="N30">
        <v>324</v>
      </c>
      <c r="O30">
        <v>2.559039570334098</v>
      </c>
      <c r="P30">
        <v>0.31635488139585283</v>
      </c>
      <c r="Q30">
        <v>0.59520726368300592</v>
      </c>
      <c r="R30">
        <v>-0.2489335573406683</v>
      </c>
      <c r="S30">
        <v>35</v>
      </c>
    </row>
    <row r="31" spans="1:19" x14ac:dyDescent="0.3">
      <c r="A31" t="s">
        <v>82</v>
      </c>
      <c r="B31" t="s">
        <v>20</v>
      </c>
      <c r="C31" t="s">
        <v>83</v>
      </c>
      <c r="D31" t="s">
        <v>84</v>
      </c>
      <c r="E31">
        <v>12758</v>
      </c>
      <c r="F31">
        <v>12776</v>
      </c>
      <c r="G31">
        <v>12762</v>
      </c>
      <c r="H31">
        <v>12788</v>
      </c>
      <c r="I31">
        <v>12804</v>
      </c>
      <c r="J31">
        <v>12808</v>
      </c>
      <c r="K31">
        <v>12817</v>
      </c>
      <c r="L31">
        <v>12821</v>
      </c>
      <c r="M31">
        <v>12825</v>
      </c>
      <c r="N31">
        <v>67</v>
      </c>
      <c r="O31">
        <v>0.52516068349270917</v>
      </c>
      <c r="P31">
        <v>6.5494753917128001E-2</v>
      </c>
      <c r="Q31">
        <v>0.5878731734104391</v>
      </c>
      <c r="R31">
        <v>-0.25200057646300522</v>
      </c>
      <c r="S31">
        <v>36</v>
      </c>
    </row>
    <row r="32" spans="1:19" x14ac:dyDescent="0.3">
      <c r="A32" t="s">
        <v>85</v>
      </c>
      <c r="B32" t="s">
        <v>20</v>
      </c>
      <c r="C32" t="s">
        <v>83</v>
      </c>
      <c r="D32" t="s">
        <v>86</v>
      </c>
      <c r="E32">
        <v>5251</v>
      </c>
      <c r="F32">
        <v>5167</v>
      </c>
      <c r="G32">
        <v>5070</v>
      </c>
      <c r="H32">
        <v>4990</v>
      </c>
      <c r="I32">
        <v>4906</v>
      </c>
      <c r="J32">
        <v>4819</v>
      </c>
      <c r="K32">
        <v>4720</v>
      </c>
      <c r="L32">
        <v>4625</v>
      </c>
      <c r="M32">
        <v>4530</v>
      </c>
      <c r="N32">
        <v>-721</v>
      </c>
      <c r="O32">
        <v>-13.730717958484099</v>
      </c>
      <c r="P32">
        <v>-1.8292694270812591</v>
      </c>
      <c r="Q32">
        <v>0.20764643084204981</v>
      </c>
      <c r="R32">
        <v>-0.41100634908665917</v>
      </c>
      <c r="S32">
        <v>59</v>
      </c>
    </row>
    <row r="33" spans="1:19" x14ac:dyDescent="0.3">
      <c r="A33" t="s">
        <v>87</v>
      </c>
      <c r="B33" t="s">
        <v>20</v>
      </c>
      <c r="C33" t="s">
        <v>83</v>
      </c>
      <c r="D33" t="s">
        <v>88</v>
      </c>
      <c r="E33">
        <v>6923</v>
      </c>
      <c r="F33">
        <v>6930</v>
      </c>
      <c r="G33">
        <v>6916</v>
      </c>
      <c r="H33">
        <v>6926</v>
      </c>
      <c r="I33">
        <v>6929</v>
      </c>
      <c r="J33">
        <v>6931</v>
      </c>
      <c r="K33">
        <v>6933</v>
      </c>
      <c r="L33">
        <v>6935</v>
      </c>
      <c r="M33">
        <v>6937</v>
      </c>
      <c r="N33">
        <v>14</v>
      </c>
      <c r="O33">
        <v>0.20222446916076109</v>
      </c>
      <c r="P33">
        <v>2.525572256169006E-2</v>
      </c>
      <c r="Q33">
        <v>0.31797865137997777</v>
      </c>
      <c r="R33">
        <v>-0.3648668801650034</v>
      </c>
      <c r="S33">
        <v>47</v>
      </c>
    </row>
    <row r="34" spans="1:19" x14ac:dyDescent="0.3">
      <c r="A34" t="s">
        <v>89</v>
      </c>
      <c r="B34" t="s">
        <v>20</v>
      </c>
      <c r="C34" t="s">
        <v>83</v>
      </c>
      <c r="D34" t="s">
        <v>90</v>
      </c>
      <c r="E34">
        <v>6247</v>
      </c>
      <c r="F34">
        <v>6252</v>
      </c>
      <c r="G34">
        <v>6239</v>
      </c>
      <c r="H34">
        <v>6247</v>
      </c>
      <c r="I34">
        <v>6249</v>
      </c>
      <c r="J34">
        <v>6251</v>
      </c>
      <c r="K34">
        <v>6253</v>
      </c>
      <c r="L34">
        <v>6255</v>
      </c>
      <c r="M34">
        <v>6257</v>
      </c>
      <c r="N34">
        <v>10</v>
      </c>
      <c r="O34">
        <v>0.16007683688170629</v>
      </c>
      <c r="P34">
        <v>1.999560516459109E-2</v>
      </c>
      <c r="Q34">
        <v>0.2868087677215686</v>
      </c>
      <c r="R34">
        <v>-0.37790171143493517</v>
      </c>
      <c r="S34">
        <v>50</v>
      </c>
    </row>
    <row r="35" spans="1:19" x14ac:dyDescent="0.3">
      <c r="A35" t="s">
        <v>91</v>
      </c>
      <c r="B35" t="s">
        <v>20</v>
      </c>
      <c r="C35" t="s">
        <v>92</v>
      </c>
      <c r="D35" t="s">
        <v>93</v>
      </c>
      <c r="E35">
        <v>26502</v>
      </c>
      <c r="F35">
        <v>26702</v>
      </c>
      <c r="G35">
        <v>26830</v>
      </c>
      <c r="H35">
        <v>27030</v>
      </c>
      <c r="I35">
        <v>27201</v>
      </c>
      <c r="J35">
        <v>27351</v>
      </c>
      <c r="K35">
        <v>27491</v>
      </c>
      <c r="L35">
        <v>27630</v>
      </c>
      <c r="M35">
        <v>27767</v>
      </c>
      <c r="N35">
        <v>1265</v>
      </c>
      <c r="O35">
        <v>4.7732246622896426</v>
      </c>
      <c r="P35">
        <v>0.5845526724996164</v>
      </c>
      <c r="Q35">
        <v>1.2727855287397789</v>
      </c>
      <c r="R35">
        <v>3.4420671824232717E-2</v>
      </c>
      <c r="S35">
        <v>18</v>
      </c>
    </row>
    <row r="36" spans="1:19" x14ac:dyDescent="0.3">
      <c r="A36" t="s">
        <v>94</v>
      </c>
      <c r="B36" t="s">
        <v>20</v>
      </c>
      <c r="C36" t="s">
        <v>92</v>
      </c>
      <c r="D36" t="s">
        <v>95</v>
      </c>
      <c r="E36">
        <v>10276</v>
      </c>
      <c r="F36">
        <v>10354</v>
      </c>
      <c r="G36">
        <v>10403</v>
      </c>
      <c r="H36">
        <v>10482</v>
      </c>
      <c r="I36">
        <v>10550</v>
      </c>
      <c r="J36">
        <v>10610</v>
      </c>
      <c r="K36">
        <v>10666</v>
      </c>
      <c r="L36">
        <v>10721</v>
      </c>
      <c r="M36">
        <v>10776</v>
      </c>
      <c r="N36">
        <v>500</v>
      </c>
      <c r="O36">
        <v>4.8657065005838884</v>
      </c>
      <c r="P36">
        <v>0.59564645868770416</v>
      </c>
      <c r="Q36">
        <v>0.49395097985737951</v>
      </c>
      <c r="R36">
        <v>-0.29127759009843218</v>
      </c>
      <c r="S36">
        <v>38</v>
      </c>
    </row>
    <row r="37" spans="1:19" x14ac:dyDescent="0.3">
      <c r="A37" t="s">
        <v>96</v>
      </c>
      <c r="B37" t="s">
        <v>20</v>
      </c>
      <c r="C37" t="s">
        <v>92</v>
      </c>
      <c r="D37" t="s">
        <v>97</v>
      </c>
      <c r="E37">
        <v>2643</v>
      </c>
      <c r="F37">
        <v>2612</v>
      </c>
      <c r="G37">
        <v>2574</v>
      </c>
      <c r="H37">
        <v>2545</v>
      </c>
      <c r="I37">
        <v>2512</v>
      </c>
      <c r="J37">
        <v>2479</v>
      </c>
      <c r="K37">
        <v>2444</v>
      </c>
      <c r="L37">
        <v>2409</v>
      </c>
      <c r="M37">
        <v>2375</v>
      </c>
      <c r="N37">
        <v>-268</v>
      </c>
      <c r="O37">
        <v>-10.139992432841471</v>
      </c>
      <c r="P37">
        <v>-1.327573936145876</v>
      </c>
      <c r="Q37">
        <v>0.1088654024834146</v>
      </c>
      <c r="R37">
        <v>-0.45231526289063451</v>
      </c>
      <c r="S37">
        <v>72</v>
      </c>
    </row>
    <row r="38" spans="1:19" x14ac:dyDescent="0.3">
      <c r="A38" t="s">
        <v>98</v>
      </c>
      <c r="B38" t="s">
        <v>20</v>
      </c>
      <c r="C38" t="s">
        <v>92</v>
      </c>
      <c r="D38" t="s">
        <v>99</v>
      </c>
      <c r="E38">
        <v>4248</v>
      </c>
      <c r="F38">
        <v>4190</v>
      </c>
      <c r="G38">
        <v>4122</v>
      </c>
      <c r="H38">
        <v>4065</v>
      </c>
      <c r="I38">
        <v>4005</v>
      </c>
      <c r="J38">
        <v>3943</v>
      </c>
      <c r="K38">
        <v>3880</v>
      </c>
      <c r="L38">
        <v>3820</v>
      </c>
      <c r="M38">
        <v>3759</v>
      </c>
      <c r="N38">
        <v>-489</v>
      </c>
      <c r="O38">
        <v>-11.51129943502824</v>
      </c>
      <c r="P38">
        <v>-1.517066316656956</v>
      </c>
      <c r="Q38">
        <v>0.17230528334111819</v>
      </c>
      <c r="R38">
        <v>-0.4257855474824202</v>
      </c>
      <c r="S38">
        <v>62</v>
      </c>
    </row>
    <row r="39" spans="1:19" x14ac:dyDescent="0.3">
      <c r="A39" t="s">
        <v>100</v>
      </c>
      <c r="B39" t="s">
        <v>20</v>
      </c>
      <c r="C39" t="s">
        <v>92</v>
      </c>
      <c r="D39" t="s">
        <v>101</v>
      </c>
      <c r="E39">
        <v>667</v>
      </c>
      <c r="F39">
        <v>666</v>
      </c>
      <c r="G39">
        <v>662</v>
      </c>
      <c r="H39">
        <v>661</v>
      </c>
      <c r="I39">
        <v>658</v>
      </c>
      <c r="J39">
        <v>655</v>
      </c>
      <c r="K39">
        <v>653</v>
      </c>
      <c r="L39">
        <v>651</v>
      </c>
      <c r="M39">
        <v>646</v>
      </c>
      <c r="N39">
        <v>-21</v>
      </c>
      <c r="O39">
        <v>-3.1484257871064458</v>
      </c>
      <c r="P39">
        <v>-0.39908331414284509</v>
      </c>
      <c r="Q39">
        <v>2.9611389475488779E-2</v>
      </c>
      <c r="R39">
        <v>-0.48545823828138768</v>
      </c>
      <c r="S39">
        <v>83</v>
      </c>
    </row>
    <row r="40" spans="1:19" x14ac:dyDescent="0.3">
      <c r="A40" t="s">
        <v>102</v>
      </c>
      <c r="B40" t="s">
        <v>20</v>
      </c>
      <c r="C40" t="s">
        <v>92</v>
      </c>
      <c r="D40" t="s">
        <v>103</v>
      </c>
      <c r="E40">
        <v>2910</v>
      </c>
      <c r="F40">
        <v>2894</v>
      </c>
      <c r="G40">
        <v>2869</v>
      </c>
      <c r="H40">
        <v>2853</v>
      </c>
      <c r="I40">
        <v>2835</v>
      </c>
      <c r="J40">
        <v>2814</v>
      </c>
      <c r="K40">
        <v>2791</v>
      </c>
      <c r="L40">
        <v>2770</v>
      </c>
      <c r="M40">
        <v>2748</v>
      </c>
      <c r="N40">
        <v>-162</v>
      </c>
      <c r="O40">
        <v>-5.5670103092783529</v>
      </c>
      <c r="P40">
        <v>-0.71343918819668506</v>
      </c>
      <c r="Q40">
        <v>0.12596300043133621</v>
      </c>
      <c r="R40">
        <v>-0.44516527456168647</v>
      </c>
      <c r="S40">
        <v>68</v>
      </c>
    </row>
    <row r="41" spans="1:19" x14ac:dyDescent="0.3">
      <c r="A41" t="s">
        <v>104</v>
      </c>
      <c r="B41" t="s">
        <v>20</v>
      </c>
      <c r="C41" t="s">
        <v>92</v>
      </c>
      <c r="D41" t="s">
        <v>105</v>
      </c>
      <c r="E41">
        <v>558</v>
      </c>
      <c r="F41">
        <v>551</v>
      </c>
      <c r="G41">
        <v>542</v>
      </c>
      <c r="H41">
        <v>536</v>
      </c>
      <c r="I41">
        <v>530</v>
      </c>
      <c r="J41">
        <v>523</v>
      </c>
      <c r="K41">
        <v>517</v>
      </c>
      <c r="L41">
        <v>509</v>
      </c>
      <c r="M41">
        <v>503</v>
      </c>
      <c r="N41">
        <v>-55</v>
      </c>
      <c r="O41">
        <v>-9.8566308243727576</v>
      </c>
      <c r="P41">
        <v>-1.2887336883625311</v>
      </c>
      <c r="Q41">
        <v>2.305654629438213E-2</v>
      </c>
      <c r="R41">
        <v>-0.48819938662197632</v>
      </c>
      <c r="S41">
        <v>84</v>
      </c>
    </row>
    <row r="42" spans="1:19" x14ac:dyDescent="0.3">
      <c r="A42" t="s">
        <v>106</v>
      </c>
      <c r="B42" t="s">
        <v>20</v>
      </c>
      <c r="C42" t="s">
        <v>92</v>
      </c>
      <c r="D42" t="s">
        <v>107</v>
      </c>
      <c r="E42">
        <v>6506</v>
      </c>
      <c r="F42">
        <v>6534</v>
      </c>
      <c r="G42">
        <v>6543</v>
      </c>
      <c r="H42">
        <v>6571</v>
      </c>
      <c r="I42">
        <v>6591</v>
      </c>
      <c r="J42">
        <v>6606</v>
      </c>
      <c r="K42">
        <v>6618</v>
      </c>
      <c r="L42">
        <v>6631</v>
      </c>
      <c r="M42">
        <v>6643</v>
      </c>
      <c r="N42">
        <v>137</v>
      </c>
      <c r="O42">
        <v>2.105748539809404</v>
      </c>
      <c r="P42">
        <v>0.26082506616778017</v>
      </c>
      <c r="Q42">
        <v>0.3045022605041362</v>
      </c>
      <c r="R42">
        <v>-0.37050252780229742</v>
      </c>
      <c r="S42">
        <v>49</v>
      </c>
    </row>
    <row r="43" spans="1:19" x14ac:dyDescent="0.3">
      <c r="A43" t="s">
        <v>108</v>
      </c>
      <c r="B43" t="s">
        <v>20</v>
      </c>
      <c r="C43" t="s">
        <v>92</v>
      </c>
      <c r="D43" t="s">
        <v>109</v>
      </c>
      <c r="E43">
        <v>7631</v>
      </c>
      <c r="F43">
        <v>7597</v>
      </c>
      <c r="G43">
        <v>7543</v>
      </c>
      <c r="H43">
        <v>7509</v>
      </c>
      <c r="I43">
        <v>7467</v>
      </c>
      <c r="J43">
        <v>7422</v>
      </c>
      <c r="K43">
        <v>7372</v>
      </c>
      <c r="L43">
        <v>7322</v>
      </c>
      <c r="M43">
        <v>7273</v>
      </c>
      <c r="N43">
        <v>-358</v>
      </c>
      <c r="O43">
        <v>-4.6913903813392777</v>
      </c>
      <c r="P43">
        <v>-0.59882531530154326</v>
      </c>
      <c r="Q43">
        <v>0.33338024095236829</v>
      </c>
      <c r="R43">
        <v>-0.35842614000809592</v>
      </c>
      <c r="S43">
        <v>46</v>
      </c>
    </row>
    <row r="44" spans="1:19" x14ac:dyDescent="0.3">
      <c r="A44" t="s">
        <v>110</v>
      </c>
      <c r="B44" t="s">
        <v>20</v>
      </c>
      <c r="C44" t="s">
        <v>92</v>
      </c>
      <c r="D44" t="s">
        <v>111</v>
      </c>
      <c r="E44">
        <v>23424</v>
      </c>
      <c r="F44">
        <v>23245</v>
      </c>
      <c r="G44">
        <v>23003</v>
      </c>
      <c r="H44">
        <v>22824</v>
      </c>
      <c r="I44">
        <v>22622</v>
      </c>
      <c r="J44">
        <v>22404</v>
      </c>
      <c r="K44">
        <v>22181</v>
      </c>
      <c r="L44">
        <v>21956</v>
      </c>
      <c r="M44">
        <v>21733</v>
      </c>
      <c r="N44">
        <v>-1691</v>
      </c>
      <c r="O44">
        <v>-7.2190915300546443</v>
      </c>
      <c r="P44">
        <v>-0.93224360087382774</v>
      </c>
      <c r="Q44">
        <v>0.99619864933560021</v>
      </c>
      <c r="R44">
        <v>-8.1244286826897896E-2</v>
      </c>
      <c r="S44">
        <v>22</v>
      </c>
    </row>
    <row r="45" spans="1:19" x14ac:dyDescent="0.3">
      <c r="A45" t="s">
        <v>112</v>
      </c>
      <c r="B45" t="s">
        <v>20</v>
      </c>
      <c r="C45" t="s">
        <v>113</v>
      </c>
      <c r="D45" t="s">
        <v>114</v>
      </c>
      <c r="E45">
        <v>18747</v>
      </c>
      <c r="F45">
        <v>19081</v>
      </c>
      <c r="G45">
        <v>19368</v>
      </c>
      <c r="H45">
        <v>19647</v>
      </c>
      <c r="I45">
        <v>19882</v>
      </c>
      <c r="J45">
        <v>20089</v>
      </c>
      <c r="K45">
        <v>20280</v>
      </c>
      <c r="L45">
        <v>20469</v>
      </c>
      <c r="M45">
        <v>20658</v>
      </c>
      <c r="N45">
        <v>1911</v>
      </c>
      <c r="O45">
        <v>10.193630980956961</v>
      </c>
      <c r="P45">
        <v>1.22075251765752</v>
      </c>
      <c r="Q45">
        <v>0.94692273031679142</v>
      </c>
      <c r="R45">
        <v>-0.101850821555099</v>
      </c>
      <c r="S45">
        <v>24</v>
      </c>
    </row>
    <row r="46" spans="1:19" x14ac:dyDescent="0.3">
      <c r="A46" t="s">
        <v>115</v>
      </c>
      <c r="B46" t="s">
        <v>20</v>
      </c>
      <c r="C46" t="s">
        <v>113</v>
      </c>
      <c r="D46" t="s">
        <v>116</v>
      </c>
      <c r="E46">
        <v>42788</v>
      </c>
      <c r="F46">
        <v>43508</v>
      </c>
      <c r="G46">
        <v>44119</v>
      </c>
      <c r="H46">
        <v>44710</v>
      </c>
      <c r="I46">
        <v>45202</v>
      </c>
      <c r="J46">
        <v>45626</v>
      </c>
      <c r="K46">
        <v>46016</v>
      </c>
      <c r="L46">
        <v>46402</v>
      </c>
      <c r="M46">
        <v>46782</v>
      </c>
      <c r="N46">
        <v>3994</v>
      </c>
      <c r="O46">
        <v>9.334392820416948</v>
      </c>
      <c r="P46">
        <v>1.12175531722063</v>
      </c>
      <c r="Q46">
        <v>2.144396319570149</v>
      </c>
      <c r="R46">
        <v>0.39891672564445951</v>
      </c>
      <c r="S46">
        <v>13</v>
      </c>
    </row>
    <row r="47" spans="1:19" x14ac:dyDescent="0.3">
      <c r="A47" t="s">
        <v>117</v>
      </c>
      <c r="B47" t="s">
        <v>20</v>
      </c>
      <c r="C47" t="s">
        <v>113</v>
      </c>
      <c r="D47" t="s">
        <v>118</v>
      </c>
      <c r="E47">
        <v>4384</v>
      </c>
      <c r="F47">
        <v>4498</v>
      </c>
      <c r="G47">
        <v>4604</v>
      </c>
      <c r="H47">
        <v>4708</v>
      </c>
      <c r="I47">
        <v>4803</v>
      </c>
      <c r="J47">
        <v>4892</v>
      </c>
      <c r="K47">
        <v>4978</v>
      </c>
      <c r="L47">
        <v>5064</v>
      </c>
      <c r="M47">
        <v>5150</v>
      </c>
      <c r="N47">
        <v>766</v>
      </c>
      <c r="O47">
        <v>17.47262773722629</v>
      </c>
      <c r="P47">
        <v>2.033335816169179</v>
      </c>
      <c r="Q47">
        <v>0.23606603064824649</v>
      </c>
      <c r="R47">
        <v>-0.39912164998760369</v>
      </c>
      <c r="S47">
        <v>54</v>
      </c>
    </row>
    <row r="48" spans="1:19" x14ac:dyDescent="0.3">
      <c r="A48" t="s">
        <v>119</v>
      </c>
      <c r="B48" t="s">
        <v>20</v>
      </c>
      <c r="C48" t="s">
        <v>113</v>
      </c>
      <c r="D48" t="s">
        <v>120</v>
      </c>
      <c r="E48">
        <v>31002</v>
      </c>
      <c r="F48">
        <v>31619</v>
      </c>
      <c r="G48">
        <v>32161</v>
      </c>
      <c r="H48">
        <v>32691</v>
      </c>
      <c r="I48">
        <v>33150</v>
      </c>
      <c r="J48">
        <v>33563</v>
      </c>
      <c r="K48">
        <v>33952</v>
      </c>
      <c r="L48">
        <v>34340</v>
      </c>
      <c r="M48">
        <v>34726</v>
      </c>
      <c r="N48">
        <v>3724</v>
      </c>
      <c r="O48">
        <v>12.01212824979034</v>
      </c>
      <c r="P48">
        <v>1.428062860056545</v>
      </c>
      <c r="Q48">
        <v>1.591772617532234</v>
      </c>
      <c r="R48">
        <v>0.1678168347763736</v>
      </c>
      <c r="S48">
        <v>15</v>
      </c>
    </row>
    <row r="49" spans="1:19" x14ac:dyDescent="0.3">
      <c r="A49" t="s">
        <v>121</v>
      </c>
      <c r="B49" t="s">
        <v>20</v>
      </c>
      <c r="C49" t="s">
        <v>113</v>
      </c>
      <c r="D49" t="s">
        <v>122</v>
      </c>
      <c r="E49">
        <v>12455</v>
      </c>
      <c r="F49">
        <v>12604</v>
      </c>
      <c r="G49">
        <v>12718</v>
      </c>
      <c r="H49">
        <v>12825</v>
      </c>
      <c r="I49">
        <v>12902</v>
      </c>
      <c r="J49">
        <v>12959</v>
      </c>
      <c r="K49">
        <v>13004</v>
      </c>
      <c r="L49">
        <v>13047</v>
      </c>
      <c r="M49">
        <v>13087</v>
      </c>
      <c r="N49">
        <v>632</v>
      </c>
      <c r="O49">
        <v>5.074267362505025</v>
      </c>
      <c r="P49">
        <v>0.62063327608099517</v>
      </c>
      <c r="Q49">
        <v>0.59988274623176729</v>
      </c>
      <c r="R49">
        <v>-0.24697833265017849</v>
      </c>
      <c r="S49">
        <v>34</v>
      </c>
    </row>
    <row r="50" spans="1:19" x14ac:dyDescent="0.3">
      <c r="A50" t="s">
        <v>123</v>
      </c>
      <c r="B50" t="s">
        <v>20</v>
      </c>
      <c r="C50" t="s">
        <v>124</v>
      </c>
      <c r="D50" t="s">
        <v>125</v>
      </c>
      <c r="E50">
        <v>13839</v>
      </c>
      <c r="F50">
        <v>13871</v>
      </c>
      <c r="G50">
        <v>13862</v>
      </c>
      <c r="H50">
        <v>13855</v>
      </c>
      <c r="I50">
        <v>13848</v>
      </c>
      <c r="J50">
        <v>13841</v>
      </c>
      <c r="K50">
        <v>13833</v>
      </c>
      <c r="L50">
        <v>13825</v>
      </c>
      <c r="M50">
        <v>13818</v>
      </c>
      <c r="N50">
        <v>-21</v>
      </c>
      <c r="O50">
        <v>-0.15174506828528059</v>
      </c>
      <c r="P50">
        <v>-1.8980738144802611E-2</v>
      </c>
      <c r="Q50">
        <v>0.63339037116455732</v>
      </c>
      <c r="R50">
        <v>-0.23296588903500179</v>
      </c>
      <c r="S50">
        <v>31</v>
      </c>
    </row>
    <row r="51" spans="1:19" x14ac:dyDescent="0.3">
      <c r="A51" t="s">
        <v>126</v>
      </c>
      <c r="B51" t="s">
        <v>20</v>
      </c>
      <c r="C51" t="s">
        <v>124</v>
      </c>
      <c r="D51" t="s">
        <v>127</v>
      </c>
      <c r="E51">
        <v>4160</v>
      </c>
      <c r="F51">
        <v>4201</v>
      </c>
      <c r="G51">
        <v>4229</v>
      </c>
      <c r="H51">
        <v>4264</v>
      </c>
      <c r="I51">
        <v>4292</v>
      </c>
      <c r="J51">
        <v>4315</v>
      </c>
      <c r="K51">
        <v>4336</v>
      </c>
      <c r="L51">
        <v>4356</v>
      </c>
      <c r="M51">
        <v>4377</v>
      </c>
      <c r="N51">
        <v>217</v>
      </c>
      <c r="O51">
        <v>5.2163461538461631</v>
      </c>
      <c r="P51">
        <v>0.63763031094781208</v>
      </c>
      <c r="Q51">
        <v>0.20063320701890769</v>
      </c>
      <c r="R51">
        <v>-0.41393918612239389</v>
      </c>
      <c r="S51">
        <v>60</v>
      </c>
    </row>
    <row r="52" spans="1:19" x14ac:dyDescent="0.3">
      <c r="A52" t="s">
        <v>128</v>
      </c>
      <c r="B52" t="s">
        <v>20</v>
      </c>
      <c r="C52" t="s">
        <v>124</v>
      </c>
      <c r="D52" t="s">
        <v>129</v>
      </c>
      <c r="E52">
        <v>12872</v>
      </c>
      <c r="F52">
        <v>12978</v>
      </c>
      <c r="G52">
        <v>13046</v>
      </c>
      <c r="H52">
        <v>13135</v>
      </c>
      <c r="I52">
        <v>13206</v>
      </c>
      <c r="J52">
        <v>13264</v>
      </c>
      <c r="K52">
        <v>13318</v>
      </c>
      <c r="L52">
        <v>13370</v>
      </c>
      <c r="M52">
        <v>13421</v>
      </c>
      <c r="N52">
        <v>549</v>
      </c>
      <c r="O52">
        <v>4.2650714729645767</v>
      </c>
      <c r="P52">
        <v>0.52344313568752909</v>
      </c>
      <c r="Q52">
        <v>0.61519265967575065</v>
      </c>
      <c r="R52">
        <v>-0.2405759302323002</v>
      </c>
      <c r="S52">
        <v>33</v>
      </c>
    </row>
    <row r="53" spans="1:19" x14ac:dyDescent="0.3">
      <c r="A53" t="s">
        <v>130</v>
      </c>
      <c r="B53" t="s">
        <v>20</v>
      </c>
      <c r="C53" t="s">
        <v>124</v>
      </c>
      <c r="D53" t="s">
        <v>131</v>
      </c>
      <c r="E53">
        <v>6170</v>
      </c>
      <c r="F53">
        <v>6166</v>
      </c>
      <c r="G53">
        <v>6142</v>
      </c>
      <c r="H53">
        <v>6130</v>
      </c>
      <c r="I53">
        <v>6122</v>
      </c>
      <c r="J53">
        <v>6114</v>
      </c>
      <c r="K53">
        <v>6108</v>
      </c>
      <c r="L53">
        <v>6101</v>
      </c>
      <c r="M53">
        <v>6095</v>
      </c>
      <c r="N53">
        <v>-75</v>
      </c>
      <c r="O53">
        <v>-1.2155591572123201</v>
      </c>
      <c r="P53">
        <v>-0.15275914156485099</v>
      </c>
      <c r="Q53">
        <v>0.27938300132059463</v>
      </c>
      <c r="R53">
        <v>-0.38100706829630138</v>
      </c>
      <c r="S53">
        <v>51</v>
      </c>
    </row>
    <row r="54" spans="1:19" x14ac:dyDescent="0.3">
      <c r="A54" t="s">
        <v>132</v>
      </c>
      <c r="B54" t="s">
        <v>20</v>
      </c>
      <c r="C54" t="s">
        <v>124</v>
      </c>
      <c r="D54" t="s">
        <v>133</v>
      </c>
      <c r="E54">
        <v>1212</v>
      </c>
      <c r="F54">
        <v>1164</v>
      </c>
      <c r="G54">
        <v>1116</v>
      </c>
      <c r="H54">
        <v>1070</v>
      </c>
      <c r="I54">
        <v>1034</v>
      </c>
      <c r="J54">
        <v>1004</v>
      </c>
      <c r="K54">
        <v>975</v>
      </c>
      <c r="L54">
        <v>950</v>
      </c>
      <c r="M54">
        <v>922</v>
      </c>
      <c r="N54">
        <v>-290</v>
      </c>
      <c r="O54">
        <v>-23.92739273927392</v>
      </c>
      <c r="P54">
        <v>-3.3607529272794201</v>
      </c>
      <c r="Q54">
        <v>4.2262695195666652E-2</v>
      </c>
      <c r="R54">
        <v>-0.48016763029535647</v>
      </c>
      <c r="S54">
        <v>81</v>
      </c>
    </row>
    <row r="55" spans="1:19" x14ac:dyDescent="0.3">
      <c r="A55" t="s">
        <v>134</v>
      </c>
      <c r="B55" t="s">
        <v>20</v>
      </c>
      <c r="C55" t="s">
        <v>124</v>
      </c>
      <c r="D55" t="s">
        <v>135</v>
      </c>
      <c r="E55">
        <v>3817</v>
      </c>
      <c r="F55">
        <v>3795</v>
      </c>
      <c r="G55">
        <v>3762</v>
      </c>
      <c r="H55">
        <v>3736</v>
      </c>
      <c r="I55">
        <v>3716</v>
      </c>
      <c r="J55">
        <v>3699</v>
      </c>
      <c r="K55">
        <v>3685</v>
      </c>
      <c r="L55">
        <v>3670</v>
      </c>
      <c r="M55">
        <v>3656</v>
      </c>
      <c r="N55">
        <v>-161</v>
      </c>
      <c r="O55">
        <v>-4.2179722294996118</v>
      </c>
      <c r="P55">
        <v>-0.53724067476187409</v>
      </c>
      <c r="Q55">
        <v>0.16758396272815321</v>
      </c>
      <c r="R55">
        <v>-0.4277599410424246</v>
      </c>
      <c r="S55">
        <v>64</v>
      </c>
    </row>
    <row r="56" spans="1:19" x14ac:dyDescent="0.3">
      <c r="A56" t="s">
        <v>136</v>
      </c>
      <c r="B56" t="s">
        <v>20</v>
      </c>
      <c r="C56" t="s">
        <v>124</v>
      </c>
      <c r="D56" t="s">
        <v>137</v>
      </c>
      <c r="E56">
        <v>1407</v>
      </c>
      <c r="F56">
        <v>1385</v>
      </c>
      <c r="G56">
        <v>1360</v>
      </c>
      <c r="H56">
        <v>1337</v>
      </c>
      <c r="I56">
        <v>1320</v>
      </c>
      <c r="J56">
        <v>1305</v>
      </c>
      <c r="K56">
        <v>1292</v>
      </c>
      <c r="L56">
        <v>1279</v>
      </c>
      <c r="M56">
        <v>1266</v>
      </c>
      <c r="N56">
        <v>-141</v>
      </c>
      <c r="O56">
        <v>-10.021321961620471</v>
      </c>
      <c r="P56">
        <v>-1.311294804020646</v>
      </c>
      <c r="Q56">
        <v>5.8030989281685437E-2</v>
      </c>
      <c r="R56">
        <v>-0.47357353918233208</v>
      </c>
      <c r="S56">
        <v>80</v>
      </c>
    </row>
    <row r="57" spans="1:19" x14ac:dyDescent="0.3">
      <c r="A57" t="s">
        <v>138</v>
      </c>
      <c r="B57" t="s">
        <v>20</v>
      </c>
      <c r="C57" t="s">
        <v>124</v>
      </c>
      <c r="D57" t="s">
        <v>139</v>
      </c>
      <c r="E57">
        <v>20312</v>
      </c>
      <c r="F57">
        <v>20753</v>
      </c>
      <c r="G57">
        <v>21147</v>
      </c>
      <c r="H57">
        <v>21560</v>
      </c>
      <c r="I57">
        <v>21889</v>
      </c>
      <c r="J57">
        <v>22160</v>
      </c>
      <c r="K57">
        <v>22405</v>
      </c>
      <c r="L57">
        <v>22645</v>
      </c>
      <c r="M57">
        <v>22884</v>
      </c>
      <c r="N57">
        <v>2572</v>
      </c>
      <c r="O57">
        <v>12.66246553761323</v>
      </c>
      <c r="P57">
        <v>1.501487392581957</v>
      </c>
      <c r="Q57">
        <v>1.0489582612338779</v>
      </c>
      <c r="R57">
        <v>-5.9180918015586767E-2</v>
      </c>
      <c r="S57">
        <v>21</v>
      </c>
    </row>
    <row r="58" spans="1:19" x14ac:dyDescent="0.3">
      <c r="A58" t="s">
        <v>140</v>
      </c>
      <c r="B58" t="s">
        <v>20</v>
      </c>
      <c r="C58" t="s">
        <v>124</v>
      </c>
      <c r="D58" t="s">
        <v>141</v>
      </c>
      <c r="E58">
        <v>10158</v>
      </c>
      <c r="F58">
        <v>10482</v>
      </c>
      <c r="G58">
        <v>10782</v>
      </c>
      <c r="H58">
        <v>11088</v>
      </c>
      <c r="I58">
        <v>11333</v>
      </c>
      <c r="J58">
        <v>11536</v>
      </c>
      <c r="K58">
        <v>11716</v>
      </c>
      <c r="L58">
        <v>11895</v>
      </c>
      <c r="M58">
        <v>12072</v>
      </c>
      <c r="N58">
        <v>1914</v>
      </c>
      <c r="O58">
        <v>18.842291789722388</v>
      </c>
      <c r="P58">
        <v>2.1812890825287918</v>
      </c>
      <c r="Q58">
        <v>0.55335711106517116</v>
      </c>
      <c r="R58">
        <v>-0.26643473520750333</v>
      </c>
      <c r="S58">
        <v>37</v>
      </c>
    </row>
    <row r="59" spans="1:19" x14ac:dyDescent="0.3">
      <c r="A59" t="s">
        <v>142</v>
      </c>
      <c r="B59" t="s">
        <v>20</v>
      </c>
      <c r="C59" t="s">
        <v>124</v>
      </c>
      <c r="D59" t="s">
        <v>143</v>
      </c>
      <c r="E59">
        <v>1835</v>
      </c>
      <c r="F59">
        <v>1872</v>
      </c>
      <c r="G59">
        <v>1902</v>
      </c>
      <c r="H59">
        <v>1936</v>
      </c>
      <c r="I59">
        <v>1961</v>
      </c>
      <c r="J59">
        <v>1984</v>
      </c>
      <c r="K59">
        <v>2003</v>
      </c>
      <c r="L59">
        <v>2023</v>
      </c>
      <c r="M59">
        <v>2041</v>
      </c>
      <c r="N59">
        <v>206</v>
      </c>
      <c r="O59">
        <v>11.226158038147149</v>
      </c>
      <c r="P59">
        <v>1.3388256009012169</v>
      </c>
      <c r="Q59">
        <v>9.3555489039431283E-2</v>
      </c>
      <c r="R59">
        <v>-0.45871766530851282</v>
      </c>
      <c r="S59">
        <v>78</v>
      </c>
    </row>
    <row r="60" spans="1:19" x14ac:dyDescent="0.3">
      <c r="A60" t="s">
        <v>144</v>
      </c>
      <c r="B60" t="s">
        <v>20</v>
      </c>
      <c r="C60" t="s">
        <v>124</v>
      </c>
      <c r="D60" t="s">
        <v>145</v>
      </c>
      <c r="E60">
        <v>2362</v>
      </c>
      <c r="F60">
        <v>2330</v>
      </c>
      <c r="G60">
        <v>2290</v>
      </c>
      <c r="H60">
        <v>2256</v>
      </c>
      <c r="I60">
        <v>2228</v>
      </c>
      <c r="J60">
        <v>2206</v>
      </c>
      <c r="K60">
        <v>2186</v>
      </c>
      <c r="L60">
        <v>2166</v>
      </c>
      <c r="M60">
        <v>2146</v>
      </c>
      <c r="N60">
        <v>-216</v>
      </c>
      <c r="O60">
        <v>-9.144792548687553</v>
      </c>
      <c r="P60">
        <v>-1.191631578217234</v>
      </c>
      <c r="Q60">
        <v>9.8368485780803289E-2</v>
      </c>
      <c r="R60">
        <v>-0.45670493400947909</v>
      </c>
      <c r="S60">
        <v>76</v>
      </c>
    </row>
    <row r="61" spans="1:19" x14ac:dyDescent="0.3">
      <c r="A61" t="s">
        <v>146</v>
      </c>
      <c r="B61" t="s">
        <v>20</v>
      </c>
      <c r="C61" t="s">
        <v>124</v>
      </c>
      <c r="D61" t="s">
        <v>147</v>
      </c>
      <c r="E61">
        <v>3025</v>
      </c>
      <c r="F61">
        <v>3033</v>
      </c>
      <c r="G61">
        <v>3032</v>
      </c>
      <c r="H61">
        <v>3031</v>
      </c>
      <c r="I61">
        <v>3030</v>
      </c>
      <c r="J61">
        <v>3029</v>
      </c>
      <c r="K61">
        <v>3027</v>
      </c>
      <c r="L61">
        <v>3026</v>
      </c>
      <c r="M61">
        <v>3025</v>
      </c>
      <c r="N61">
        <v>0</v>
      </c>
      <c r="O61">
        <v>0</v>
      </c>
      <c r="P61">
        <v>0</v>
      </c>
      <c r="Q61">
        <v>0.1386601442157176</v>
      </c>
      <c r="R61">
        <v>-0.43985549770614069</v>
      </c>
      <c r="S61">
        <v>65</v>
      </c>
    </row>
    <row r="62" spans="1:19" x14ac:dyDescent="0.3">
      <c r="A62" t="s">
        <v>148</v>
      </c>
      <c r="B62" t="s">
        <v>20</v>
      </c>
      <c r="C62" t="s">
        <v>124</v>
      </c>
      <c r="D62" t="s">
        <v>149</v>
      </c>
      <c r="E62">
        <v>2503</v>
      </c>
      <c r="F62">
        <v>2466</v>
      </c>
      <c r="G62">
        <v>2422</v>
      </c>
      <c r="H62">
        <v>2384</v>
      </c>
      <c r="I62">
        <v>2352</v>
      </c>
      <c r="J62">
        <v>2327</v>
      </c>
      <c r="K62">
        <v>2305</v>
      </c>
      <c r="L62">
        <v>2283</v>
      </c>
      <c r="M62">
        <v>2261</v>
      </c>
      <c r="N62">
        <v>-242</v>
      </c>
      <c r="O62">
        <v>-9.6683979224930106</v>
      </c>
      <c r="P62">
        <v>-1.2629917013233021</v>
      </c>
      <c r="Q62">
        <v>0.1036398631642107</v>
      </c>
      <c r="R62">
        <v>-0.45450051401529951</v>
      </c>
      <c r="S62">
        <v>74</v>
      </c>
    </row>
    <row r="63" spans="1:19" x14ac:dyDescent="0.3">
      <c r="A63" t="s">
        <v>150</v>
      </c>
      <c r="B63" t="s">
        <v>20</v>
      </c>
      <c r="C63" t="s">
        <v>151</v>
      </c>
      <c r="D63" t="s">
        <v>152</v>
      </c>
      <c r="E63">
        <v>74786</v>
      </c>
      <c r="F63">
        <v>77443</v>
      </c>
      <c r="G63">
        <v>79944</v>
      </c>
      <c r="H63">
        <v>82085</v>
      </c>
      <c r="I63">
        <v>84084</v>
      </c>
      <c r="J63">
        <v>85980</v>
      </c>
      <c r="K63">
        <v>87823</v>
      </c>
      <c r="L63">
        <v>89656</v>
      </c>
      <c r="M63">
        <v>91478</v>
      </c>
      <c r="N63">
        <v>16692</v>
      </c>
      <c r="O63">
        <v>22.31968550263419</v>
      </c>
      <c r="P63">
        <v>2.5503258055034732</v>
      </c>
      <c r="Q63">
        <v>4.1931744372117068</v>
      </c>
      <c r="R63">
        <v>1.255688517469274</v>
      </c>
      <c r="S63">
        <v>5</v>
      </c>
    </row>
    <row r="64" spans="1:19" x14ac:dyDescent="0.3">
      <c r="A64" t="s">
        <v>153</v>
      </c>
      <c r="B64" t="s">
        <v>20</v>
      </c>
      <c r="C64" t="s">
        <v>151</v>
      </c>
      <c r="D64" t="s">
        <v>154</v>
      </c>
      <c r="E64">
        <v>18956</v>
      </c>
      <c r="F64">
        <v>19177</v>
      </c>
      <c r="G64">
        <v>19344</v>
      </c>
      <c r="H64">
        <v>19553</v>
      </c>
      <c r="I64">
        <v>19702</v>
      </c>
      <c r="J64">
        <v>19809</v>
      </c>
      <c r="K64">
        <v>19896</v>
      </c>
      <c r="L64">
        <v>19982</v>
      </c>
      <c r="M64">
        <v>20064</v>
      </c>
      <c r="N64">
        <v>1108</v>
      </c>
      <c r="O64">
        <v>5.8451150031652244</v>
      </c>
      <c r="P64">
        <v>0.71261032334513086</v>
      </c>
      <c r="Q64">
        <v>0.91969492017988685</v>
      </c>
      <c r="R64">
        <v>-0.1132371300467748</v>
      </c>
      <c r="S64">
        <v>26</v>
      </c>
    </row>
    <row r="65" spans="1:19" x14ac:dyDescent="0.3">
      <c r="A65" t="s">
        <v>155</v>
      </c>
      <c r="B65" t="s">
        <v>20</v>
      </c>
      <c r="C65" t="s">
        <v>151</v>
      </c>
      <c r="D65" t="s">
        <v>156</v>
      </c>
      <c r="E65">
        <v>9815</v>
      </c>
      <c r="F65">
        <v>9948</v>
      </c>
      <c r="G65">
        <v>10054</v>
      </c>
      <c r="H65">
        <v>10179</v>
      </c>
      <c r="I65">
        <v>10271</v>
      </c>
      <c r="J65">
        <v>10339</v>
      </c>
      <c r="K65">
        <v>10395</v>
      </c>
      <c r="L65">
        <v>10452</v>
      </c>
      <c r="M65">
        <v>10506</v>
      </c>
      <c r="N65">
        <v>691</v>
      </c>
      <c r="O65">
        <v>7.0402445236882327</v>
      </c>
      <c r="P65">
        <v>0.85406014522841911</v>
      </c>
      <c r="Q65">
        <v>0.48157470252242279</v>
      </c>
      <c r="R65">
        <v>-0.29645318486737582</v>
      </c>
      <c r="S65">
        <v>39</v>
      </c>
    </row>
    <row r="66" spans="1:19" x14ac:dyDescent="0.3">
      <c r="A66" t="s">
        <v>157</v>
      </c>
      <c r="B66" t="s">
        <v>20</v>
      </c>
      <c r="C66" t="s">
        <v>151</v>
      </c>
      <c r="D66" t="s">
        <v>158</v>
      </c>
      <c r="E66">
        <v>8678</v>
      </c>
      <c r="F66">
        <v>8748</v>
      </c>
      <c r="G66">
        <v>8795</v>
      </c>
      <c r="H66">
        <v>8865</v>
      </c>
      <c r="I66">
        <v>8909</v>
      </c>
      <c r="J66">
        <v>8939</v>
      </c>
      <c r="K66">
        <v>8960</v>
      </c>
      <c r="L66">
        <v>8981</v>
      </c>
      <c r="M66">
        <v>9002</v>
      </c>
      <c r="N66">
        <v>324</v>
      </c>
      <c r="O66">
        <v>3.7335791657063799</v>
      </c>
      <c r="P66">
        <v>0.45924741707787931</v>
      </c>
      <c r="Q66">
        <v>0.41263425396029407</v>
      </c>
      <c r="R66">
        <v>-0.32528316461734269</v>
      </c>
      <c r="S66">
        <v>44</v>
      </c>
    </row>
    <row r="67" spans="1:19" x14ac:dyDescent="0.3">
      <c r="A67" t="s">
        <v>159</v>
      </c>
      <c r="B67" t="s">
        <v>20</v>
      </c>
      <c r="C67" t="s">
        <v>151</v>
      </c>
      <c r="D67" t="s">
        <v>160</v>
      </c>
      <c r="E67">
        <v>11845</v>
      </c>
      <c r="F67">
        <v>11627</v>
      </c>
      <c r="G67">
        <v>11381</v>
      </c>
      <c r="H67">
        <v>11164</v>
      </c>
      <c r="I67">
        <v>10927</v>
      </c>
      <c r="J67">
        <v>10677</v>
      </c>
      <c r="K67">
        <v>10421</v>
      </c>
      <c r="L67">
        <v>10166</v>
      </c>
      <c r="M67">
        <v>9912</v>
      </c>
      <c r="N67">
        <v>-1933</v>
      </c>
      <c r="O67">
        <v>-16.31912199240185</v>
      </c>
      <c r="P67">
        <v>-2.202381666347764</v>
      </c>
      <c r="Q67">
        <v>0.45434689238551829</v>
      </c>
      <c r="R67">
        <v>-0.30783949335905147</v>
      </c>
      <c r="S67">
        <v>41</v>
      </c>
    </row>
    <row r="68" spans="1:19" x14ac:dyDescent="0.3">
      <c r="A68" t="s">
        <v>161</v>
      </c>
      <c r="B68" t="s">
        <v>20</v>
      </c>
      <c r="C68" t="s">
        <v>151</v>
      </c>
      <c r="D68" t="s">
        <v>162</v>
      </c>
      <c r="E68">
        <v>14533</v>
      </c>
      <c r="F68">
        <v>14728</v>
      </c>
      <c r="G68">
        <v>14881</v>
      </c>
      <c r="H68">
        <v>15064</v>
      </c>
      <c r="I68">
        <v>15197</v>
      </c>
      <c r="J68">
        <v>15296</v>
      </c>
      <c r="K68">
        <v>15379</v>
      </c>
      <c r="L68">
        <v>15459</v>
      </c>
      <c r="M68">
        <v>15538</v>
      </c>
      <c r="N68">
        <v>1005</v>
      </c>
      <c r="O68">
        <v>6.9152962223904213</v>
      </c>
      <c r="P68">
        <v>0.83933672999527698</v>
      </c>
      <c r="Q68">
        <v>0.71223184159465125</v>
      </c>
      <c r="R68">
        <v>-0.19999543346988</v>
      </c>
      <c r="S68">
        <v>28</v>
      </c>
    </row>
    <row r="69" spans="1:19" x14ac:dyDescent="0.3">
      <c r="A69" t="s">
        <v>163</v>
      </c>
      <c r="B69" t="s">
        <v>20</v>
      </c>
      <c r="C69" t="s">
        <v>151</v>
      </c>
      <c r="D69" t="s">
        <v>164</v>
      </c>
      <c r="E69">
        <v>9762</v>
      </c>
      <c r="F69">
        <v>9847</v>
      </c>
      <c r="G69">
        <v>9904</v>
      </c>
      <c r="H69">
        <v>9986</v>
      </c>
      <c r="I69">
        <v>10040</v>
      </c>
      <c r="J69">
        <v>10077</v>
      </c>
      <c r="K69">
        <v>10104</v>
      </c>
      <c r="L69">
        <v>10130</v>
      </c>
      <c r="M69">
        <v>10156</v>
      </c>
      <c r="N69">
        <v>394</v>
      </c>
      <c r="O69">
        <v>4.0360581847981969</v>
      </c>
      <c r="P69">
        <v>0.49581720530367251</v>
      </c>
      <c r="Q69">
        <v>0.46553138005118277</v>
      </c>
      <c r="R69">
        <v>-0.30316228919748772</v>
      </c>
      <c r="S69">
        <v>40</v>
      </c>
    </row>
    <row r="70" spans="1:19" x14ac:dyDescent="0.3">
      <c r="A70" t="s">
        <v>165</v>
      </c>
      <c r="B70" t="s">
        <v>20</v>
      </c>
      <c r="C70" t="s">
        <v>151</v>
      </c>
      <c r="D70" t="s">
        <v>166</v>
      </c>
      <c r="E70">
        <v>14052</v>
      </c>
      <c r="F70">
        <v>14229</v>
      </c>
      <c r="G70">
        <v>14367</v>
      </c>
      <c r="H70">
        <v>14534</v>
      </c>
      <c r="I70">
        <v>14654</v>
      </c>
      <c r="J70">
        <v>14744</v>
      </c>
      <c r="K70">
        <v>14816</v>
      </c>
      <c r="L70">
        <v>14888</v>
      </c>
      <c r="M70">
        <v>14958</v>
      </c>
      <c r="N70">
        <v>906</v>
      </c>
      <c r="O70">
        <v>6.4474807856532923</v>
      </c>
      <c r="P70">
        <v>0.78407715312998061</v>
      </c>
      <c r="Q70">
        <v>0.6856457643565963</v>
      </c>
      <c r="R70">
        <v>-0.21111337778835129</v>
      </c>
      <c r="S70">
        <v>29</v>
      </c>
    </row>
    <row r="71" spans="1:19" x14ac:dyDescent="0.3">
      <c r="A71" t="s">
        <v>167</v>
      </c>
      <c r="B71" t="s">
        <v>20</v>
      </c>
      <c r="C71" t="s">
        <v>168</v>
      </c>
      <c r="D71" t="s">
        <v>169</v>
      </c>
      <c r="E71">
        <v>20223</v>
      </c>
      <c r="F71">
        <v>20325</v>
      </c>
      <c r="G71">
        <v>20368</v>
      </c>
      <c r="H71">
        <v>20456</v>
      </c>
      <c r="I71">
        <v>20520</v>
      </c>
      <c r="J71">
        <v>20570</v>
      </c>
      <c r="K71">
        <v>20610</v>
      </c>
      <c r="L71">
        <v>20652</v>
      </c>
      <c r="M71">
        <v>20689</v>
      </c>
      <c r="N71">
        <v>466</v>
      </c>
      <c r="O71">
        <v>2.304306977204162</v>
      </c>
      <c r="P71">
        <v>0.28517569850672331</v>
      </c>
      <c r="Q71">
        <v>0.9483437103071013</v>
      </c>
      <c r="R71">
        <v>-0.10125658660014621</v>
      </c>
      <c r="S71">
        <v>23</v>
      </c>
    </row>
    <row r="72" spans="1:19" x14ac:dyDescent="0.3">
      <c r="A72" t="s">
        <v>170</v>
      </c>
      <c r="B72" t="s">
        <v>20</v>
      </c>
      <c r="C72" t="s">
        <v>168</v>
      </c>
      <c r="D72" t="s">
        <v>171</v>
      </c>
      <c r="E72">
        <v>5127</v>
      </c>
      <c r="F72">
        <v>5067</v>
      </c>
      <c r="G72">
        <v>4995</v>
      </c>
      <c r="H72">
        <v>4934</v>
      </c>
      <c r="I72">
        <v>4870</v>
      </c>
      <c r="J72">
        <v>4803</v>
      </c>
      <c r="K72">
        <v>4736</v>
      </c>
      <c r="L72">
        <v>4669</v>
      </c>
      <c r="M72">
        <v>4605</v>
      </c>
      <c r="N72">
        <v>-522</v>
      </c>
      <c r="O72">
        <v>-10.1813926272674</v>
      </c>
      <c r="P72">
        <v>-1.333257612029348</v>
      </c>
      <c r="Q72">
        <v>0.21108428565731549</v>
      </c>
      <c r="R72">
        <v>-0.40956868387306378</v>
      </c>
      <c r="S72">
        <v>57</v>
      </c>
    </row>
    <row r="73" spans="1:19" x14ac:dyDescent="0.3">
      <c r="A73" t="s">
        <v>172</v>
      </c>
      <c r="B73" t="s">
        <v>20</v>
      </c>
      <c r="C73" t="s">
        <v>168</v>
      </c>
      <c r="D73" t="s">
        <v>173</v>
      </c>
      <c r="E73">
        <v>5899</v>
      </c>
      <c r="F73">
        <v>5851</v>
      </c>
      <c r="G73">
        <v>5789</v>
      </c>
      <c r="H73">
        <v>5739</v>
      </c>
      <c r="I73">
        <v>5685</v>
      </c>
      <c r="J73">
        <v>5625</v>
      </c>
      <c r="K73">
        <v>5566</v>
      </c>
      <c r="L73">
        <v>5507</v>
      </c>
      <c r="M73">
        <v>5447</v>
      </c>
      <c r="N73">
        <v>-452</v>
      </c>
      <c r="O73">
        <v>-7.6623156467197866</v>
      </c>
      <c r="P73">
        <v>-0.99152473966117594</v>
      </c>
      <c r="Q73">
        <v>0.24967993571669869</v>
      </c>
      <c r="R73">
        <v>-0.3934284957417658</v>
      </c>
      <c r="S73">
        <v>53</v>
      </c>
    </row>
    <row r="74" spans="1:19" x14ac:dyDescent="0.3">
      <c r="A74" t="s">
        <v>174</v>
      </c>
      <c r="B74" t="s">
        <v>20</v>
      </c>
      <c r="C74" t="s">
        <v>168</v>
      </c>
      <c r="D74" t="s">
        <v>175</v>
      </c>
      <c r="E74">
        <v>1857</v>
      </c>
      <c r="F74">
        <v>1854</v>
      </c>
      <c r="G74">
        <v>1846</v>
      </c>
      <c r="H74">
        <v>1842</v>
      </c>
      <c r="I74">
        <v>1835</v>
      </c>
      <c r="J74">
        <v>1829</v>
      </c>
      <c r="K74">
        <v>1821</v>
      </c>
      <c r="L74">
        <v>1813</v>
      </c>
      <c r="M74">
        <v>1805</v>
      </c>
      <c r="N74">
        <v>-52</v>
      </c>
      <c r="O74">
        <v>-2.800215401184702</v>
      </c>
      <c r="P74">
        <v>-0.35439167741921912</v>
      </c>
      <c r="Q74">
        <v>8.2737705887395124E-2</v>
      </c>
      <c r="R74">
        <v>-0.46324151851395973</v>
      </c>
      <c r="S74">
        <v>79</v>
      </c>
    </row>
    <row r="75" spans="1:19" x14ac:dyDescent="0.3">
      <c r="A75" t="s">
        <v>176</v>
      </c>
      <c r="B75" t="s">
        <v>20</v>
      </c>
      <c r="C75" t="s">
        <v>168</v>
      </c>
      <c r="D75" t="s">
        <v>177</v>
      </c>
      <c r="E75">
        <v>2480</v>
      </c>
      <c r="F75">
        <v>2464</v>
      </c>
      <c r="G75">
        <v>2441</v>
      </c>
      <c r="H75">
        <v>2424</v>
      </c>
      <c r="I75">
        <v>2405</v>
      </c>
      <c r="J75">
        <v>2384</v>
      </c>
      <c r="K75">
        <v>2363</v>
      </c>
      <c r="L75">
        <v>2341</v>
      </c>
      <c r="M75">
        <v>2320</v>
      </c>
      <c r="N75">
        <v>-160</v>
      </c>
      <c r="O75">
        <v>-6.4516129032258114</v>
      </c>
      <c r="P75">
        <v>-0.83017702050115494</v>
      </c>
      <c r="Q75">
        <v>0.1063443089522198</v>
      </c>
      <c r="R75">
        <v>-0.45336955071393781</v>
      </c>
      <c r="S75">
        <v>73</v>
      </c>
    </row>
    <row r="76" spans="1:19" x14ac:dyDescent="0.3">
      <c r="A76" t="s">
        <v>178</v>
      </c>
      <c r="B76" t="s">
        <v>20</v>
      </c>
      <c r="C76" t="s">
        <v>168</v>
      </c>
      <c r="D76" t="s">
        <v>179</v>
      </c>
      <c r="E76">
        <v>13713</v>
      </c>
      <c r="F76">
        <v>13727</v>
      </c>
      <c r="G76">
        <v>13703</v>
      </c>
      <c r="H76">
        <v>13708</v>
      </c>
      <c r="I76">
        <v>13698</v>
      </c>
      <c r="J76">
        <v>13678</v>
      </c>
      <c r="K76">
        <v>13653</v>
      </c>
      <c r="L76">
        <v>13627</v>
      </c>
      <c r="M76">
        <v>13601</v>
      </c>
      <c r="N76">
        <v>-112</v>
      </c>
      <c r="O76">
        <v>-0.8167432363450744</v>
      </c>
      <c r="P76">
        <v>-0.1024595813782003</v>
      </c>
      <c r="Q76">
        <v>0.62344351123238839</v>
      </c>
      <c r="R76">
        <v>-0.23712553371967121</v>
      </c>
      <c r="S76">
        <v>32</v>
      </c>
    </row>
    <row r="77" spans="1:19" x14ac:dyDescent="0.3">
      <c r="A77" t="s">
        <v>180</v>
      </c>
      <c r="B77" t="s">
        <v>20</v>
      </c>
      <c r="C77" t="s">
        <v>168</v>
      </c>
      <c r="D77" t="s">
        <v>181</v>
      </c>
      <c r="E77">
        <v>3067</v>
      </c>
      <c r="F77">
        <v>3062</v>
      </c>
      <c r="G77">
        <v>3049</v>
      </c>
      <c r="H77">
        <v>3043</v>
      </c>
      <c r="I77">
        <v>3033</v>
      </c>
      <c r="J77">
        <v>3021</v>
      </c>
      <c r="K77">
        <v>3007</v>
      </c>
      <c r="L77">
        <v>2994</v>
      </c>
      <c r="M77">
        <v>2980</v>
      </c>
      <c r="N77">
        <v>-87</v>
      </c>
      <c r="O77">
        <v>-2.8366481904140821</v>
      </c>
      <c r="P77">
        <v>-0.35906113595683958</v>
      </c>
      <c r="Q77">
        <v>0.13659743132655819</v>
      </c>
      <c r="R77">
        <v>-0.44071809683429802</v>
      </c>
      <c r="S77">
        <v>67</v>
      </c>
    </row>
    <row r="78" spans="1:19" x14ac:dyDescent="0.3">
      <c r="A78" t="s">
        <v>182</v>
      </c>
      <c r="B78" t="s">
        <v>20</v>
      </c>
      <c r="C78" t="s">
        <v>168</v>
      </c>
      <c r="D78" t="s">
        <v>183</v>
      </c>
      <c r="E78">
        <v>3677</v>
      </c>
      <c r="F78">
        <v>3682</v>
      </c>
      <c r="G78">
        <v>3677</v>
      </c>
      <c r="H78">
        <v>3680</v>
      </c>
      <c r="I78">
        <v>3679</v>
      </c>
      <c r="J78">
        <v>3674</v>
      </c>
      <c r="K78">
        <v>3669</v>
      </c>
      <c r="L78">
        <v>3663</v>
      </c>
      <c r="M78">
        <v>3657</v>
      </c>
      <c r="N78">
        <v>-20</v>
      </c>
      <c r="O78">
        <v>-0.5439216752787579</v>
      </c>
      <c r="P78">
        <v>-6.8152554987710445E-2</v>
      </c>
      <c r="Q78">
        <v>0.16762980079235679</v>
      </c>
      <c r="R78">
        <v>-0.42774077217291001</v>
      </c>
      <c r="S78">
        <v>63</v>
      </c>
    </row>
    <row r="79" spans="1:19" x14ac:dyDescent="0.3">
      <c r="A79" t="s">
        <v>184</v>
      </c>
      <c r="B79" t="s">
        <v>20</v>
      </c>
      <c r="C79" t="s">
        <v>185</v>
      </c>
      <c r="D79" t="s">
        <v>186</v>
      </c>
      <c r="E79">
        <v>14279</v>
      </c>
      <c r="F79">
        <v>14331</v>
      </c>
      <c r="G79">
        <v>14344</v>
      </c>
      <c r="H79">
        <v>14358</v>
      </c>
      <c r="I79">
        <v>14381</v>
      </c>
      <c r="J79">
        <v>14407</v>
      </c>
      <c r="K79">
        <v>14434</v>
      </c>
      <c r="L79">
        <v>14462</v>
      </c>
      <c r="M79">
        <v>14490</v>
      </c>
      <c r="N79">
        <v>211</v>
      </c>
      <c r="O79">
        <v>1.4776945164227231</v>
      </c>
      <c r="P79">
        <v>0.18352858148154019</v>
      </c>
      <c r="Q79">
        <v>0.66419355030933813</v>
      </c>
      <c r="R79">
        <v>-0.22008440872118681</v>
      </c>
      <c r="S79">
        <v>30</v>
      </c>
    </row>
    <row r="80" spans="1:19" x14ac:dyDescent="0.3">
      <c r="A80" t="s">
        <v>187</v>
      </c>
      <c r="B80" t="s">
        <v>20</v>
      </c>
      <c r="C80" t="s">
        <v>185</v>
      </c>
      <c r="D80" t="s">
        <v>188</v>
      </c>
      <c r="E80">
        <v>4984</v>
      </c>
      <c r="F80">
        <v>4932</v>
      </c>
      <c r="G80">
        <v>4866</v>
      </c>
      <c r="H80">
        <v>4839</v>
      </c>
      <c r="I80">
        <v>4800</v>
      </c>
      <c r="J80">
        <v>4752</v>
      </c>
      <c r="K80">
        <v>4702</v>
      </c>
      <c r="L80">
        <v>4651</v>
      </c>
      <c r="M80">
        <v>4601</v>
      </c>
      <c r="N80">
        <v>-383</v>
      </c>
      <c r="O80">
        <v>-7.6845906902086707</v>
      </c>
      <c r="P80">
        <v>-0.99451058842766615</v>
      </c>
      <c r="Q80">
        <v>0.21090093340050139</v>
      </c>
      <c r="R80">
        <v>-0.40964535935112217</v>
      </c>
      <c r="S80">
        <v>58</v>
      </c>
    </row>
    <row r="81" spans="1:19" x14ac:dyDescent="0.3">
      <c r="A81" t="s">
        <v>189</v>
      </c>
      <c r="B81" t="s">
        <v>20</v>
      </c>
      <c r="C81" t="s">
        <v>185</v>
      </c>
      <c r="D81" t="s">
        <v>190</v>
      </c>
      <c r="E81">
        <v>2537</v>
      </c>
      <c r="F81">
        <v>2555</v>
      </c>
      <c r="G81">
        <v>2566</v>
      </c>
      <c r="H81">
        <v>2573</v>
      </c>
      <c r="I81">
        <v>2582</v>
      </c>
      <c r="J81">
        <v>2594</v>
      </c>
      <c r="K81">
        <v>2607</v>
      </c>
      <c r="L81">
        <v>2619</v>
      </c>
      <c r="M81">
        <v>2631</v>
      </c>
      <c r="N81">
        <v>94</v>
      </c>
      <c r="O81">
        <v>3.7051635790303461</v>
      </c>
      <c r="P81">
        <v>0.45580717304014579</v>
      </c>
      <c r="Q81">
        <v>0.12059994691952169</v>
      </c>
      <c r="R81">
        <v>-0.4474080322948954</v>
      </c>
      <c r="S81">
        <v>69</v>
      </c>
    </row>
    <row r="82" spans="1:19" x14ac:dyDescent="0.3">
      <c r="A82" t="s">
        <v>191</v>
      </c>
      <c r="B82" t="s">
        <v>20</v>
      </c>
      <c r="C82" t="s">
        <v>185</v>
      </c>
      <c r="D82" t="s">
        <v>192</v>
      </c>
      <c r="E82">
        <v>6707</v>
      </c>
      <c r="F82">
        <v>6620</v>
      </c>
      <c r="G82">
        <v>6514</v>
      </c>
      <c r="H82">
        <v>6470</v>
      </c>
      <c r="I82">
        <v>6405</v>
      </c>
      <c r="J82">
        <v>6328</v>
      </c>
      <c r="K82">
        <v>6246</v>
      </c>
      <c r="L82">
        <v>6163</v>
      </c>
      <c r="M82">
        <v>6080</v>
      </c>
      <c r="N82">
        <v>-627</v>
      </c>
      <c r="O82">
        <v>-9.3484419263456076</v>
      </c>
      <c r="P82">
        <v>-1.2193432853442761</v>
      </c>
      <c r="Q82">
        <v>0.27869543035754152</v>
      </c>
      <c r="R82">
        <v>-0.38129460133902038</v>
      </c>
      <c r="S82">
        <v>52</v>
      </c>
    </row>
    <row r="83" spans="1:19" x14ac:dyDescent="0.3">
      <c r="A83" t="s">
        <v>193</v>
      </c>
      <c r="B83" t="s">
        <v>20</v>
      </c>
      <c r="C83" t="s">
        <v>194</v>
      </c>
      <c r="D83" t="s">
        <v>195</v>
      </c>
      <c r="E83">
        <v>56433</v>
      </c>
      <c r="F83">
        <v>57500</v>
      </c>
      <c r="G83">
        <v>58418</v>
      </c>
      <c r="H83">
        <v>59275</v>
      </c>
      <c r="I83">
        <v>60018</v>
      </c>
      <c r="J83">
        <v>60685</v>
      </c>
      <c r="K83">
        <v>61312</v>
      </c>
      <c r="L83">
        <v>61934</v>
      </c>
      <c r="M83">
        <v>62551</v>
      </c>
      <c r="N83">
        <v>6118</v>
      </c>
      <c r="O83">
        <v>10.84117449010331</v>
      </c>
      <c r="P83">
        <v>1.2949139570471719</v>
      </c>
      <c r="Q83">
        <v>2.8672167539958191</v>
      </c>
      <c r="R83">
        <v>0.70119062902027629</v>
      </c>
      <c r="S83">
        <v>9</v>
      </c>
    </row>
    <row r="84" spans="1:19" x14ac:dyDescent="0.3">
      <c r="A84" t="s">
        <v>196</v>
      </c>
      <c r="B84" t="s">
        <v>20</v>
      </c>
      <c r="C84" t="s">
        <v>194</v>
      </c>
      <c r="D84" t="s">
        <v>197</v>
      </c>
      <c r="E84">
        <v>35857</v>
      </c>
      <c r="F84">
        <v>37511</v>
      </c>
      <c r="G84">
        <v>39125</v>
      </c>
      <c r="H84">
        <v>40535</v>
      </c>
      <c r="I84">
        <v>41760</v>
      </c>
      <c r="J84">
        <v>42857</v>
      </c>
      <c r="K84">
        <v>43889</v>
      </c>
      <c r="L84">
        <v>44915</v>
      </c>
      <c r="M84">
        <v>45930</v>
      </c>
      <c r="N84">
        <v>10073</v>
      </c>
      <c r="O84">
        <v>28.092143793401569</v>
      </c>
      <c r="P84">
        <v>3.1431312651875492</v>
      </c>
      <c r="Q84">
        <v>2.105342288868731</v>
      </c>
      <c r="R84">
        <v>0.38258484881801552</v>
      </c>
      <c r="S84">
        <v>14</v>
      </c>
    </row>
    <row r="85" spans="1:19" x14ac:dyDescent="0.3">
      <c r="A85" t="s">
        <v>198</v>
      </c>
      <c r="B85" t="s">
        <v>20</v>
      </c>
      <c r="C85" t="s">
        <v>194</v>
      </c>
      <c r="D85" t="s">
        <v>199</v>
      </c>
      <c r="E85">
        <v>7391</v>
      </c>
      <c r="F85">
        <v>7536</v>
      </c>
      <c r="G85">
        <v>7663</v>
      </c>
      <c r="H85">
        <v>7780</v>
      </c>
      <c r="I85">
        <v>7882</v>
      </c>
      <c r="J85">
        <v>7974</v>
      </c>
      <c r="K85">
        <v>8060</v>
      </c>
      <c r="L85">
        <v>8145</v>
      </c>
      <c r="M85">
        <v>8229</v>
      </c>
      <c r="N85">
        <v>838</v>
      </c>
      <c r="O85">
        <v>11.338113922337991</v>
      </c>
      <c r="P85">
        <v>1.3515704499458709</v>
      </c>
      <c r="Q85">
        <v>0.37720143033095538</v>
      </c>
      <c r="R85">
        <v>-0.34010070075213278</v>
      </c>
      <c r="S85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5"/>
  <sheetViews>
    <sheetView workbookViewId="0"/>
  </sheetViews>
  <sheetFormatPr baseColWidth="10" defaultColWidth="9.109375" defaultRowHeight="14.4" x14ac:dyDescent="0.3"/>
  <sheetData>
    <row r="1" spans="1: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 t="s">
        <v>25</v>
      </c>
      <c r="B2" t="s">
        <v>21</v>
      </c>
      <c r="C2" t="s">
        <v>26</v>
      </c>
      <c r="D2">
        <v>38506</v>
      </c>
      <c r="E2">
        <v>66537</v>
      </c>
      <c r="F2">
        <v>28031</v>
      </c>
      <c r="G2">
        <v>72.796447306913208</v>
      </c>
      <c r="H2">
        <v>7.0759290201549252</v>
      </c>
    </row>
    <row r="3" spans="1:8" x14ac:dyDescent="0.3">
      <c r="A3" t="s">
        <v>31</v>
      </c>
      <c r="B3" t="s">
        <v>21</v>
      </c>
      <c r="C3" t="s">
        <v>32</v>
      </c>
      <c r="D3">
        <v>41158</v>
      </c>
      <c r="E3">
        <v>57784</v>
      </c>
      <c r="F3">
        <v>16626</v>
      </c>
      <c r="G3">
        <v>40.395548860488837</v>
      </c>
      <c r="H3">
        <v>4.3323927041904797</v>
      </c>
    </row>
    <row r="4" spans="1:8" x14ac:dyDescent="0.3">
      <c r="A4" t="s">
        <v>27</v>
      </c>
      <c r="B4" t="s">
        <v>21</v>
      </c>
      <c r="C4" t="s">
        <v>28</v>
      </c>
      <c r="D4">
        <v>78375</v>
      </c>
      <c r="E4">
        <v>106117</v>
      </c>
      <c r="F4">
        <v>27742</v>
      </c>
      <c r="G4">
        <v>35.396491228070182</v>
      </c>
      <c r="H4">
        <v>3.8606236890796448</v>
      </c>
    </row>
    <row r="5" spans="1:8" x14ac:dyDescent="0.3">
      <c r="A5" t="s">
        <v>196</v>
      </c>
      <c r="B5" t="s">
        <v>194</v>
      </c>
      <c r="C5" t="s">
        <v>197</v>
      </c>
      <c r="D5">
        <v>35857</v>
      </c>
      <c r="E5">
        <v>45930</v>
      </c>
      <c r="F5">
        <v>10073</v>
      </c>
      <c r="G5">
        <v>28.092143793401569</v>
      </c>
      <c r="H5">
        <v>3.1431312651875492</v>
      </c>
    </row>
    <row r="6" spans="1:8" x14ac:dyDescent="0.3">
      <c r="A6" t="s">
        <v>37</v>
      </c>
      <c r="B6" t="s">
        <v>21</v>
      </c>
      <c r="C6" t="s">
        <v>38</v>
      </c>
      <c r="D6">
        <v>20983</v>
      </c>
      <c r="E6">
        <v>26442</v>
      </c>
      <c r="F6">
        <v>5459</v>
      </c>
      <c r="G6">
        <v>26.016298908640319</v>
      </c>
      <c r="H6">
        <v>2.9326941329565148</v>
      </c>
    </row>
    <row r="7" spans="1:8" x14ac:dyDescent="0.3">
      <c r="A7" t="s">
        <v>150</v>
      </c>
      <c r="B7" t="s">
        <v>151</v>
      </c>
      <c r="C7" t="s">
        <v>152</v>
      </c>
      <c r="D7">
        <v>74786</v>
      </c>
      <c r="E7">
        <v>91478</v>
      </c>
      <c r="F7">
        <v>16692</v>
      </c>
      <c r="G7">
        <v>22.31968550263419</v>
      </c>
      <c r="H7">
        <v>2.5503258055034732</v>
      </c>
    </row>
    <row r="8" spans="1:8" x14ac:dyDescent="0.3">
      <c r="A8" t="s">
        <v>29</v>
      </c>
      <c r="B8" t="s">
        <v>21</v>
      </c>
      <c r="C8" t="s">
        <v>30</v>
      </c>
      <c r="D8">
        <v>210654</v>
      </c>
      <c r="E8">
        <v>253998</v>
      </c>
      <c r="F8">
        <v>43344</v>
      </c>
      <c r="G8">
        <v>20.575920704092979</v>
      </c>
      <c r="H8">
        <v>2.3664337003393099</v>
      </c>
    </row>
    <row r="9" spans="1:8" x14ac:dyDescent="0.3">
      <c r="A9" t="s">
        <v>33</v>
      </c>
      <c r="B9" t="s">
        <v>21</v>
      </c>
      <c r="C9" t="s">
        <v>34</v>
      </c>
      <c r="D9">
        <v>40336</v>
      </c>
      <c r="E9">
        <v>48097</v>
      </c>
      <c r="F9">
        <v>7761</v>
      </c>
      <c r="G9">
        <v>19.24087663625544</v>
      </c>
      <c r="H9">
        <v>2.2240645504323808</v>
      </c>
    </row>
    <row r="10" spans="1:8" x14ac:dyDescent="0.3">
      <c r="A10" t="s">
        <v>140</v>
      </c>
      <c r="B10" t="s">
        <v>124</v>
      </c>
      <c r="C10" t="s">
        <v>141</v>
      </c>
      <c r="D10">
        <v>10158</v>
      </c>
      <c r="E10">
        <v>12072</v>
      </c>
      <c r="F10">
        <v>1914</v>
      </c>
      <c r="G10">
        <v>18.842291789722388</v>
      </c>
      <c r="H10">
        <v>2.1812890825287918</v>
      </c>
    </row>
    <row r="11" spans="1:8" x14ac:dyDescent="0.3">
      <c r="A11" t="s">
        <v>41</v>
      </c>
      <c r="B11" t="s">
        <v>21</v>
      </c>
      <c r="C11" t="s">
        <v>42</v>
      </c>
      <c r="D11">
        <v>74095</v>
      </c>
      <c r="E11">
        <v>87367</v>
      </c>
      <c r="F11">
        <v>13272</v>
      </c>
      <c r="G11">
        <v>17.912139820500709</v>
      </c>
      <c r="H11">
        <v>2.0809763294641348</v>
      </c>
    </row>
    <row r="12" spans="1:8" x14ac:dyDescent="0.3">
      <c r="A12" t="s">
        <v>117</v>
      </c>
      <c r="B12" t="s">
        <v>113</v>
      </c>
      <c r="C12" t="s">
        <v>118</v>
      </c>
      <c r="D12">
        <v>4384</v>
      </c>
      <c r="E12">
        <v>5150</v>
      </c>
      <c r="F12">
        <v>766</v>
      </c>
      <c r="G12">
        <v>17.47262773722629</v>
      </c>
      <c r="H12">
        <v>2.033335816169179</v>
      </c>
    </row>
    <row r="13" spans="1:8" x14ac:dyDescent="0.3">
      <c r="A13" t="s">
        <v>78</v>
      </c>
      <c r="B13" t="s">
        <v>76</v>
      </c>
      <c r="C13" t="s">
        <v>79</v>
      </c>
      <c r="D13">
        <v>23447</v>
      </c>
      <c r="E13">
        <v>27360</v>
      </c>
      <c r="F13">
        <v>3913</v>
      </c>
      <c r="G13">
        <v>16.688702179383299</v>
      </c>
      <c r="H13">
        <v>1.9479743954123001</v>
      </c>
    </row>
    <row r="14" spans="1:8" x14ac:dyDescent="0.3">
      <c r="A14" t="s">
        <v>138</v>
      </c>
      <c r="B14" t="s">
        <v>124</v>
      </c>
      <c r="C14" t="s">
        <v>139</v>
      </c>
      <c r="D14">
        <v>20312</v>
      </c>
      <c r="E14">
        <v>22884</v>
      </c>
      <c r="F14">
        <v>2572</v>
      </c>
      <c r="G14">
        <v>12.66246553761323</v>
      </c>
      <c r="H14">
        <v>1.501487392581957</v>
      </c>
    </row>
    <row r="15" spans="1:8" x14ac:dyDescent="0.3">
      <c r="A15" t="s">
        <v>54</v>
      </c>
      <c r="B15" t="s">
        <v>46</v>
      </c>
      <c r="C15" t="s">
        <v>55</v>
      </c>
      <c r="D15">
        <v>27827</v>
      </c>
      <c r="E15">
        <v>31332</v>
      </c>
      <c r="F15">
        <v>3505</v>
      </c>
      <c r="G15">
        <v>12.59568045423509</v>
      </c>
      <c r="H15">
        <v>1.493964319165864</v>
      </c>
    </row>
    <row r="16" spans="1:8" x14ac:dyDescent="0.3">
      <c r="A16" t="s">
        <v>119</v>
      </c>
      <c r="B16" t="s">
        <v>113</v>
      </c>
      <c r="C16" t="s">
        <v>120</v>
      </c>
      <c r="D16">
        <v>31002</v>
      </c>
      <c r="E16">
        <v>34726</v>
      </c>
      <c r="F16">
        <v>3724</v>
      </c>
      <c r="G16">
        <v>12.01212824979034</v>
      </c>
      <c r="H16">
        <v>1.428062860056545</v>
      </c>
    </row>
    <row r="17" spans="1:8" x14ac:dyDescent="0.3">
      <c r="A17" t="s">
        <v>198</v>
      </c>
      <c r="B17" t="s">
        <v>194</v>
      </c>
      <c r="C17" t="s">
        <v>199</v>
      </c>
      <c r="D17">
        <v>7391</v>
      </c>
      <c r="E17">
        <v>8229</v>
      </c>
      <c r="F17">
        <v>838</v>
      </c>
      <c r="G17">
        <v>11.338113922337991</v>
      </c>
      <c r="H17">
        <v>1.3515704499458709</v>
      </c>
    </row>
    <row r="18" spans="1:8" x14ac:dyDescent="0.3">
      <c r="A18" t="s">
        <v>142</v>
      </c>
      <c r="B18" t="s">
        <v>124</v>
      </c>
      <c r="C18" t="s">
        <v>143</v>
      </c>
      <c r="D18">
        <v>1835</v>
      </c>
      <c r="E18">
        <v>2041</v>
      </c>
      <c r="F18">
        <v>206</v>
      </c>
      <c r="G18">
        <v>11.226158038147149</v>
      </c>
      <c r="H18">
        <v>1.3388256009012169</v>
      </c>
    </row>
    <row r="19" spans="1:8" x14ac:dyDescent="0.3">
      <c r="A19" t="s">
        <v>193</v>
      </c>
      <c r="B19" t="s">
        <v>194</v>
      </c>
      <c r="C19" t="s">
        <v>195</v>
      </c>
      <c r="D19">
        <v>56433</v>
      </c>
      <c r="E19">
        <v>62551</v>
      </c>
      <c r="F19">
        <v>6118</v>
      </c>
      <c r="G19">
        <v>10.84117449010331</v>
      </c>
      <c r="H19">
        <v>1.2949139570471719</v>
      </c>
    </row>
    <row r="20" spans="1:8" x14ac:dyDescent="0.3">
      <c r="A20" t="s">
        <v>112</v>
      </c>
      <c r="B20" t="s">
        <v>113</v>
      </c>
      <c r="C20" t="s">
        <v>114</v>
      </c>
      <c r="D20">
        <v>18747</v>
      </c>
      <c r="E20">
        <v>20658</v>
      </c>
      <c r="F20">
        <v>1911</v>
      </c>
      <c r="G20">
        <v>10.193630980956961</v>
      </c>
      <c r="H20">
        <v>1.22075251765752</v>
      </c>
    </row>
    <row r="21" spans="1:8" x14ac:dyDescent="0.3">
      <c r="A21" t="s">
        <v>115</v>
      </c>
      <c r="B21" t="s">
        <v>113</v>
      </c>
      <c r="C21" t="s">
        <v>116</v>
      </c>
      <c r="D21">
        <v>42788</v>
      </c>
      <c r="E21">
        <v>46782</v>
      </c>
      <c r="F21">
        <v>3994</v>
      </c>
      <c r="G21">
        <v>9.334392820416948</v>
      </c>
      <c r="H21">
        <v>1.12175531722063</v>
      </c>
    </row>
    <row r="22" spans="1:8" x14ac:dyDescent="0.3">
      <c r="A22" t="s">
        <v>19</v>
      </c>
      <c r="B22" t="s">
        <v>21</v>
      </c>
      <c r="C22" t="s">
        <v>22</v>
      </c>
      <c r="D22">
        <v>335811</v>
      </c>
      <c r="E22">
        <v>362958</v>
      </c>
      <c r="F22">
        <v>27147</v>
      </c>
      <c r="G22">
        <v>8.0840115422067704</v>
      </c>
      <c r="H22">
        <v>0.97646944558857918</v>
      </c>
    </row>
    <row r="23" spans="1:8" x14ac:dyDescent="0.3">
      <c r="A23" t="s">
        <v>155</v>
      </c>
      <c r="B23" t="s">
        <v>151</v>
      </c>
      <c r="C23" t="s">
        <v>156</v>
      </c>
      <c r="D23">
        <v>9815</v>
      </c>
      <c r="E23">
        <v>10506</v>
      </c>
      <c r="F23">
        <v>691</v>
      </c>
      <c r="G23">
        <v>7.0402445236882327</v>
      </c>
      <c r="H23">
        <v>0.85406014522841911</v>
      </c>
    </row>
    <row r="24" spans="1:8" x14ac:dyDescent="0.3">
      <c r="A24" t="s">
        <v>161</v>
      </c>
      <c r="B24" t="s">
        <v>151</v>
      </c>
      <c r="C24" t="s">
        <v>162</v>
      </c>
      <c r="D24">
        <v>14533</v>
      </c>
      <c r="E24">
        <v>15538</v>
      </c>
      <c r="F24">
        <v>1005</v>
      </c>
      <c r="G24">
        <v>6.9152962223904213</v>
      </c>
      <c r="H24">
        <v>0.83933672999527698</v>
      </c>
    </row>
    <row r="25" spans="1:8" x14ac:dyDescent="0.3">
      <c r="A25" t="s">
        <v>56</v>
      </c>
      <c r="B25" t="s">
        <v>46</v>
      </c>
      <c r="C25" t="s">
        <v>57</v>
      </c>
      <c r="D25">
        <v>9204</v>
      </c>
      <c r="E25">
        <v>9801</v>
      </c>
      <c r="F25">
        <v>597</v>
      </c>
      <c r="G25">
        <v>6.4863102998696132</v>
      </c>
      <c r="H25">
        <v>0.78867187478588452</v>
      </c>
    </row>
    <row r="26" spans="1:8" x14ac:dyDescent="0.3">
      <c r="A26" t="s">
        <v>165</v>
      </c>
      <c r="B26" t="s">
        <v>151</v>
      </c>
      <c r="C26" t="s">
        <v>166</v>
      </c>
      <c r="D26">
        <v>14052</v>
      </c>
      <c r="E26">
        <v>14958</v>
      </c>
      <c r="F26">
        <v>906</v>
      </c>
      <c r="G26">
        <v>6.4474807856532923</v>
      </c>
      <c r="H26">
        <v>0.78407715312998061</v>
      </c>
    </row>
    <row r="27" spans="1:8" x14ac:dyDescent="0.3">
      <c r="A27" t="s">
        <v>153</v>
      </c>
      <c r="B27" t="s">
        <v>151</v>
      </c>
      <c r="C27" t="s">
        <v>154</v>
      </c>
      <c r="D27">
        <v>18956</v>
      </c>
      <c r="E27">
        <v>20064</v>
      </c>
      <c r="F27">
        <v>1108</v>
      </c>
      <c r="G27">
        <v>5.8451150031652244</v>
      </c>
      <c r="H27">
        <v>0.71261032334513086</v>
      </c>
    </row>
    <row r="28" spans="1:8" x14ac:dyDescent="0.3">
      <c r="A28" t="s">
        <v>39</v>
      </c>
      <c r="B28" t="s">
        <v>21</v>
      </c>
      <c r="C28" t="s">
        <v>40</v>
      </c>
      <c r="D28">
        <v>4437</v>
      </c>
      <c r="E28">
        <v>4685</v>
      </c>
      <c r="F28">
        <v>248</v>
      </c>
      <c r="G28">
        <v>5.5893621816542671</v>
      </c>
      <c r="H28">
        <v>0.68215921979137839</v>
      </c>
    </row>
    <row r="29" spans="1:8" x14ac:dyDescent="0.3">
      <c r="A29" t="s">
        <v>126</v>
      </c>
      <c r="B29" t="s">
        <v>124</v>
      </c>
      <c r="C29" t="s">
        <v>127</v>
      </c>
      <c r="D29">
        <v>4160</v>
      </c>
      <c r="E29">
        <v>4377</v>
      </c>
      <c r="F29">
        <v>217</v>
      </c>
      <c r="G29">
        <v>5.2163461538461631</v>
      </c>
      <c r="H29">
        <v>0.63763031094781208</v>
      </c>
    </row>
    <row r="30" spans="1:8" x14ac:dyDescent="0.3">
      <c r="A30" t="s">
        <v>121</v>
      </c>
      <c r="B30" t="s">
        <v>113</v>
      </c>
      <c r="C30" t="s">
        <v>122</v>
      </c>
      <c r="D30">
        <v>12455</v>
      </c>
      <c r="E30">
        <v>13087</v>
      </c>
      <c r="F30">
        <v>632</v>
      </c>
      <c r="G30">
        <v>5.074267362505025</v>
      </c>
      <c r="H30">
        <v>0.62063327608099517</v>
      </c>
    </row>
    <row r="31" spans="1:8" x14ac:dyDescent="0.3">
      <c r="A31" t="s">
        <v>94</v>
      </c>
      <c r="B31" t="s">
        <v>92</v>
      </c>
      <c r="C31" t="s">
        <v>95</v>
      </c>
      <c r="D31">
        <v>10276</v>
      </c>
      <c r="E31">
        <v>10776</v>
      </c>
      <c r="F31">
        <v>500</v>
      </c>
      <c r="G31">
        <v>4.8657065005838884</v>
      </c>
      <c r="H31">
        <v>0.59564645868770416</v>
      </c>
    </row>
    <row r="32" spans="1:8" x14ac:dyDescent="0.3">
      <c r="A32" t="s">
        <v>35</v>
      </c>
      <c r="B32" t="s">
        <v>21</v>
      </c>
      <c r="C32" t="s">
        <v>36</v>
      </c>
      <c r="D32">
        <v>3866</v>
      </c>
      <c r="E32">
        <v>4054</v>
      </c>
      <c r="F32">
        <v>188</v>
      </c>
      <c r="G32">
        <v>4.8629073978272208</v>
      </c>
      <c r="H32">
        <v>0.59531081411785536</v>
      </c>
    </row>
    <row r="33" spans="1:8" x14ac:dyDescent="0.3">
      <c r="A33" t="s">
        <v>91</v>
      </c>
      <c r="B33" t="s">
        <v>92</v>
      </c>
      <c r="C33" t="s">
        <v>93</v>
      </c>
      <c r="D33">
        <v>26502</v>
      </c>
      <c r="E33">
        <v>27767</v>
      </c>
      <c r="F33">
        <v>1265</v>
      </c>
      <c r="G33">
        <v>4.7732246622896426</v>
      </c>
      <c r="H33">
        <v>0.5845526724996164</v>
      </c>
    </row>
    <row r="34" spans="1:8" x14ac:dyDescent="0.3">
      <c r="A34" t="s">
        <v>75</v>
      </c>
      <c r="B34" t="s">
        <v>76</v>
      </c>
      <c r="C34" t="s">
        <v>77</v>
      </c>
      <c r="D34">
        <v>48238</v>
      </c>
      <c r="E34">
        <v>50314</v>
      </c>
      <c r="F34">
        <v>2076</v>
      </c>
      <c r="G34">
        <v>4.3036610141382381</v>
      </c>
      <c r="H34">
        <v>0.52809297373213049</v>
      </c>
    </row>
    <row r="35" spans="1:8" x14ac:dyDescent="0.3">
      <c r="A35" t="s">
        <v>128</v>
      </c>
      <c r="B35" t="s">
        <v>124</v>
      </c>
      <c r="C35" t="s">
        <v>129</v>
      </c>
      <c r="D35">
        <v>12872</v>
      </c>
      <c r="E35">
        <v>13421</v>
      </c>
      <c r="F35">
        <v>549</v>
      </c>
      <c r="G35">
        <v>4.2650714729645767</v>
      </c>
      <c r="H35">
        <v>0.52344313568752909</v>
      </c>
    </row>
    <row r="36" spans="1:8" x14ac:dyDescent="0.3">
      <c r="A36" t="s">
        <v>163</v>
      </c>
      <c r="B36" t="s">
        <v>151</v>
      </c>
      <c r="C36" t="s">
        <v>164</v>
      </c>
      <c r="D36">
        <v>9762</v>
      </c>
      <c r="E36">
        <v>10156</v>
      </c>
      <c r="F36">
        <v>394</v>
      </c>
      <c r="G36">
        <v>4.0360581847981969</v>
      </c>
      <c r="H36">
        <v>0.49581720530367251</v>
      </c>
    </row>
    <row r="37" spans="1:8" x14ac:dyDescent="0.3">
      <c r="A37" t="s">
        <v>157</v>
      </c>
      <c r="B37" t="s">
        <v>151</v>
      </c>
      <c r="C37" t="s">
        <v>158</v>
      </c>
      <c r="D37">
        <v>8678</v>
      </c>
      <c r="E37">
        <v>9002</v>
      </c>
      <c r="F37">
        <v>324</v>
      </c>
      <c r="G37">
        <v>3.7335791657063799</v>
      </c>
      <c r="H37">
        <v>0.45924741707787931</v>
      </c>
    </row>
    <row r="38" spans="1:8" x14ac:dyDescent="0.3">
      <c r="A38" t="s">
        <v>189</v>
      </c>
      <c r="B38" t="s">
        <v>185</v>
      </c>
      <c r="C38" t="s">
        <v>190</v>
      </c>
      <c r="D38">
        <v>2537</v>
      </c>
      <c r="E38">
        <v>2631</v>
      </c>
      <c r="F38">
        <v>94</v>
      </c>
      <c r="G38">
        <v>3.7051635790303461</v>
      </c>
      <c r="H38">
        <v>0.45580717304014579</v>
      </c>
    </row>
    <row r="39" spans="1:8" x14ac:dyDescent="0.3">
      <c r="A39" t="s">
        <v>62</v>
      </c>
      <c r="B39" t="s">
        <v>63</v>
      </c>
      <c r="C39" t="s">
        <v>64</v>
      </c>
      <c r="D39">
        <v>4969</v>
      </c>
      <c r="E39">
        <v>5145</v>
      </c>
      <c r="F39">
        <v>176</v>
      </c>
      <c r="G39">
        <v>3.5419601529482758</v>
      </c>
      <c r="H39">
        <v>0.43603232492710481</v>
      </c>
    </row>
    <row r="40" spans="1:8" x14ac:dyDescent="0.3">
      <c r="A40" t="s">
        <v>48</v>
      </c>
      <c r="B40" t="s">
        <v>46</v>
      </c>
      <c r="C40" t="s">
        <v>49</v>
      </c>
      <c r="D40">
        <v>15849</v>
      </c>
      <c r="E40">
        <v>16262</v>
      </c>
      <c r="F40">
        <v>413</v>
      </c>
      <c r="G40">
        <v>2.605842639914191</v>
      </c>
      <c r="H40">
        <v>0.32207619107438301</v>
      </c>
    </row>
    <row r="41" spans="1:8" x14ac:dyDescent="0.3">
      <c r="A41" t="s">
        <v>80</v>
      </c>
      <c r="B41" t="s">
        <v>76</v>
      </c>
      <c r="C41" t="s">
        <v>81</v>
      </c>
      <c r="D41">
        <v>12661</v>
      </c>
      <c r="E41">
        <v>12985</v>
      </c>
      <c r="F41">
        <v>324</v>
      </c>
      <c r="G41">
        <v>2.559039570334098</v>
      </c>
      <c r="H41">
        <v>0.31635488139585283</v>
      </c>
    </row>
    <row r="42" spans="1:8" x14ac:dyDescent="0.3">
      <c r="A42" t="s">
        <v>167</v>
      </c>
      <c r="B42" t="s">
        <v>168</v>
      </c>
      <c r="C42" t="s">
        <v>169</v>
      </c>
      <c r="D42">
        <v>20223</v>
      </c>
      <c r="E42">
        <v>20689</v>
      </c>
      <c r="F42">
        <v>466</v>
      </c>
      <c r="G42">
        <v>2.304306977204162</v>
      </c>
      <c r="H42">
        <v>0.28517569850672331</v>
      </c>
    </row>
    <row r="43" spans="1:8" x14ac:dyDescent="0.3">
      <c r="A43" t="s">
        <v>106</v>
      </c>
      <c r="B43" t="s">
        <v>92</v>
      </c>
      <c r="C43" t="s">
        <v>107</v>
      </c>
      <c r="D43">
        <v>6506</v>
      </c>
      <c r="E43">
        <v>6643</v>
      </c>
      <c r="F43">
        <v>137</v>
      </c>
      <c r="G43">
        <v>2.105748539809404</v>
      </c>
      <c r="H43">
        <v>0.26082506616778017</v>
      </c>
    </row>
    <row r="44" spans="1:8" x14ac:dyDescent="0.3">
      <c r="A44" t="s">
        <v>69</v>
      </c>
      <c r="B44" t="s">
        <v>63</v>
      </c>
      <c r="C44" t="s">
        <v>70</v>
      </c>
      <c r="D44">
        <v>2336</v>
      </c>
      <c r="E44">
        <v>2378</v>
      </c>
      <c r="F44">
        <v>42</v>
      </c>
      <c r="G44">
        <v>1.7979452054794449</v>
      </c>
      <c r="H44">
        <v>0.22299493096886719</v>
      </c>
    </row>
    <row r="45" spans="1:8" x14ac:dyDescent="0.3">
      <c r="A45" t="s">
        <v>58</v>
      </c>
      <c r="B45" t="s">
        <v>46</v>
      </c>
      <c r="C45" t="s">
        <v>59</v>
      </c>
      <c r="D45">
        <v>19871</v>
      </c>
      <c r="E45">
        <v>20227</v>
      </c>
      <c r="F45">
        <v>356</v>
      </c>
      <c r="G45">
        <v>1.79155553318906</v>
      </c>
      <c r="H45">
        <v>0.2222085574339783</v>
      </c>
    </row>
    <row r="46" spans="1:8" x14ac:dyDescent="0.3">
      <c r="A46" t="s">
        <v>184</v>
      </c>
      <c r="B46" t="s">
        <v>185</v>
      </c>
      <c r="C46" t="s">
        <v>186</v>
      </c>
      <c r="D46">
        <v>14279</v>
      </c>
      <c r="E46">
        <v>14490</v>
      </c>
      <c r="F46">
        <v>211</v>
      </c>
      <c r="G46">
        <v>1.4776945164227231</v>
      </c>
      <c r="H46">
        <v>0.18352858148154019</v>
      </c>
    </row>
    <row r="47" spans="1:8" x14ac:dyDescent="0.3">
      <c r="A47" t="s">
        <v>60</v>
      </c>
      <c r="B47" t="s">
        <v>46</v>
      </c>
      <c r="C47" t="s">
        <v>61</v>
      </c>
      <c r="D47">
        <v>29719</v>
      </c>
      <c r="E47">
        <v>29996</v>
      </c>
      <c r="F47">
        <v>277</v>
      </c>
      <c r="G47">
        <v>0.93206366297655663</v>
      </c>
      <c r="H47">
        <v>0.11603561342508061</v>
      </c>
    </row>
    <row r="48" spans="1:8" x14ac:dyDescent="0.3">
      <c r="A48" t="s">
        <v>82</v>
      </c>
      <c r="B48" t="s">
        <v>83</v>
      </c>
      <c r="C48" t="s">
        <v>84</v>
      </c>
      <c r="D48">
        <v>12758</v>
      </c>
      <c r="E48">
        <v>12825</v>
      </c>
      <c r="F48">
        <v>67</v>
      </c>
      <c r="G48">
        <v>0.52516068349270917</v>
      </c>
      <c r="H48">
        <v>6.5494753917128001E-2</v>
      </c>
    </row>
    <row r="49" spans="1:8" x14ac:dyDescent="0.3">
      <c r="A49" t="s">
        <v>87</v>
      </c>
      <c r="B49" t="s">
        <v>83</v>
      </c>
      <c r="C49" t="s">
        <v>88</v>
      </c>
      <c r="D49">
        <v>6923</v>
      </c>
      <c r="E49">
        <v>6937</v>
      </c>
      <c r="F49">
        <v>14</v>
      </c>
      <c r="G49">
        <v>0.20222446916076109</v>
      </c>
      <c r="H49">
        <v>2.525572256169006E-2</v>
      </c>
    </row>
    <row r="50" spans="1:8" x14ac:dyDescent="0.3">
      <c r="A50" t="s">
        <v>89</v>
      </c>
      <c r="B50" t="s">
        <v>83</v>
      </c>
      <c r="C50" t="s">
        <v>90</v>
      </c>
      <c r="D50">
        <v>6247</v>
      </c>
      <c r="E50">
        <v>6257</v>
      </c>
      <c r="F50">
        <v>10</v>
      </c>
      <c r="G50">
        <v>0.16007683688170629</v>
      </c>
      <c r="H50">
        <v>1.999560516459109E-2</v>
      </c>
    </row>
    <row r="51" spans="1:8" x14ac:dyDescent="0.3">
      <c r="A51" t="s">
        <v>146</v>
      </c>
      <c r="B51" t="s">
        <v>124</v>
      </c>
      <c r="C51" t="s">
        <v>147</v>
      </c>
      <c r="D51">
        <v>3025</v>
      </c>
      <c r="E51">
        <v>3025</v>
      </c>
      <c r="F51">
        <v>0</v>
      </c>
      <c r="G51">
        <v>0</v>
      </c>
      <c r="H51">
        <v>0</v>
      </c>
    </row>
    <row r="52" spans="1:8" x14ac:dyDescent="0.3">
      <c r="A52" t="s">
        <v>123</v>
      </c>
      <c r="B52" t="s">
        <v>124</v>
      </c>
      <c r="C52" t="s">
        <v>125</v>
      </c>
      <c r="D52">
        <v>13839</v>
      </c>
      <c r="E52">
        <v>13818</v>
      </c>
      <c r="F52">
        <v>-21</v>
      </c>
      <c r="G52">
        <v>-0.15174506828528059</v>
      </c>
      <c r="H52">
        <v>-1.8980738144802611E-2</v>
      </c>
    </row>
    <row r="53" spans="1:8" x14ac:dyDescent="0.3">
      <c r="A53" t="s">
        <v>45</v>
      </c>
      <c r="B53" t="s">
        <v>46</v>
      </c>
      <c r="C53" t="s">
        <v>47</v>
      </c>
      <c r="D53">
        <v>6858</v>
      </c>
      <c r="E53">
        <v>6840</v>
      </c>
      <c r="F53">
        <v>-18</v>
      </c>
      <c r="G53">
        <v>-0.2624671916010457</v>
      </c>
      <c r="H53">
        <v>-3.2846134554076478E-2</v>
      </c>
    </row>
    <row r="54" spans="1:8" x14ac:dyDescent="0.3">
      <c r="A54" t="s">
        <v>182</v>
      </c>
      <c r="B54" t="s">
        <v>168</v>
      </c>
      <c r="C54" t="s">
        <v>183</v>
      </c>
      <c r="D54">
        <v>3677</v>
      </c>
      <c r="E54">
        <v>3657</v>
      </c>
      <c r="F54">
        <v>-20</v>
      </c>
      <c r="G54">
        <v>-0.5439216752787579</v>
      </c>
      <c r="H54">
        <v>-6.8152554987710445E-2</v>
      </c>
    </row>
    <row r="55" spans="1:8" x14ac:dyDescent="0.3">
      <c r="A55" t="s">
        <v>178</v>
      </c>
      <c r="B55" t="s">
        <v>168</v>
      </c>
      <c r="C55" t="s">
        <v>179</v>
      </c>
      <c r="D55">
        <v>13713</v>
      </c>
      <c r="E55">
        <v>13601</v>
      </c>
      <c r="F55">
        <v>-112</v>
      </c>
      <c r="G55">
        <v>-0.8167432363450744</v>
      </c>
      <c r="H55">
        <v>-0.1024595813782003</v>
      </c>
    </row>
    <row r="56" spans="1:8" x14ac:dyDescent="0.3">
      <c r="A56" t="s">
        <v>50</v>
      </c>
      <c r="B56" t="s">
        <v>46</v>
      </c>
      <c r="C56" t="s">
        <v>51</v>
      </c>
      <c r="D56">
        <v>9828</v>
      </c>
      <c r="E56">
        <v>9717</v>
      </c>
      <c r="F56">
        <v>-111</v>
      </c>
      <c r="G56">
        <v>-1.129426129426125</v>
      </c>
      <c r="H56">
        <v>-0.1418808263716653</v>
      </c>
    </row>
    <row r="57" spans="1:8" x14ac:dyDescent="0.3">
      <c r="A57" t="s">
        <v>130</v>
      </c>
      <c r="B57" t="s">
        <v>124</v>
      </c>
      <c r="C57" t="s">
        <v>131</v>
      </c>
      <c r="D57">
        <v>6170</v>
      </c>
      <c r="E57">
        <v>6095</v>
      </c>
      <c r="F57">
        <v>-75</v>
      </c>
      <c r="G57">
        <v>-1.2155591572123201</v>
      </c>
      <c r="H57">
        <v>-0.15275914156485099</v>
      </c>
    </row>
    <row r="58" spans="1:8" x14ac:dyDescent="0.3">
      <c r="A58" t="s">
        <v>67</v>
      </c>
      <c r="B58" t="s">
        <v>63</v>
      </c>
      <c r="C58" t="s">
        <v>68</v>
      </c>
      <c r="D58">
        <v>2148</v>
      </c>
      <c r="E58">
        <v>2101</v>
      </c>
      <c r="F58">
        <v>-47</v>
      </c>
      <c r="G58">
        <v>-2.1880819366852928</v>
      </c>
      <c r="H58">
        <v>-0.2761648960145302</v>
      </c>
    </row>
    <row r="59" spans="1:8" x14ac:dyDescent="0.3">
      <c r="A59" t="s">
        <v>73</v>
      </c>
      <c r="B59" t="s">
        <v>63</v>
      </c>
      <c r="C59" t="s">
        <v>74</v>
      </c>
      <c r="D59">
        <v>907</v>
      </c>
      <c r="E59">
        <v>882</v>
      </c>
      <c r="F59">
        <v>-25</v>
      </c>
      <c r="G59">
        <v>-2.7563395810363822</v>
      </c>
      <c r="H59">
        <v>-0.34877030486132332</v>
      </c>
    </row>
    <row r="60" spans="1:8" x14ac:dyDescent="0.3">
      <c r="A60" t="s">
        <v>174</v>
      </c>
      <c r="B60" t="s">
        <v>168</v>
      </c>
      <c r="C60" t="s">
        <v>175</v>
      </c>
      <c r="D60">
        <v>1857</v>
      </c>
      <c r="E60">
        <v>1805</v>
      </c>
      <c r="F60">
        <v>-52</v>
      </c>
      <c r="G60">
        <v>-2.800215401184702</v>
      </c>
      <c r="H60">
        <v>-0.35439167741921912</v>
      </c>
    </row>
    <row r="61" spans="1:8" x14ac:dyDescent="0.3">
      <c r="A61" t="s">
        <v>180</v>
      </c>
      <c r="B61" t="s">
        <v>168</v>
      </c>
      <c r="C61" t="s">
        <v>181</v>
      </c>
      <c r="D61">
        <v>3067</v>
      </c>
      <c r="E61">
        <v>2980</v>
      </c>
      <c r="F61">
        <v>-87</v>
      </c>
      <c r="G61">
        <v>-2.8366481904140821</v>
      </c>
      <c r="H61">
        <v>-0.35906113595683958</v>
      </c>
    </row>
    <row r="62" spans="1:8" x14ac:dyDescent="0.3">
      <c r="A62" t="s">
        <v>100</v>
      </c>
      <c r="B62" t="s">
        <v>92</v>
      </c>
      <c r="C62" t="s">
        <v>101</v>
      </c>
      <c r="D62">
        <v>667</v>
      </c>
      <c r="E62">
        <v>646</v>
      </c>
      <c r="F62">
        <v>-21</v>
      </c>
      <c r="G62">
        <v>-3.1484257871064458</v>
      </c>
      <c r="H62">
        <v>-0.39908331414284509</v>
      </c>
    </row>
    <row r="63" spans="1:8" x14ac:dyDescent="0.3">
      <c r="A63" t="s">
        <v>52</v>
      </c>
      <c r="B63" t="s">
        <v>46</v>
      </c>
      <c r="C63" t="s">
        <v>53</v>
      </c>
      <c r="D63">
        <v>2694</v>
      </c>
      <c r="E63">
        <v>2595</v>
      </c>
      <c r="F63">
        <v>-99</v>
      </c>
      <c r="G63">
        <v>-3.674832962138086</v>
      </c>
      <c r="H63">
        <v>-0.46691357075557832</v>
      </c>
    </row>
    <row r="64" spans="1:8" x14ac:dyDescent="0.3">
      <c r="A64" t="s">
        <v>134</v>
      </c>
      <c r="B64" t="s">
        <v>124</v>
      </c>
      <c r="C64" t="s">
        <v>135</v>
      </c>
      <c r="D64">
        <v>3817</v>
      </c>
      <c r="E64">
        <v>3656</v>
      </c>
      <c r="F64">
        <v>-161</v>
      </c>
      <c r="G64">
        <v>-4.2179722294996118</v>
      </c>
      <c r="H64">
        <v>-0.53724067476187409</v>
      </c>
    </row>
    <row r="65" spans="1:8" x14ac:dyDescent="0.3">
      <c r="A65" t="s">
        <v>108</v>
      </c>
      <c r="B65" t="s">
        <v>92</v>
      </c>
      <c r="C65" t="s">
        <v>109</v>
      </c>
      <c r="D65">
        <v>7631</v>
      </c>
      <c r="E65">
        <v>7273</v>
      </c>
      <c r="F65">
        <v>-358</v>
      </c>
      <c r="G65">
        <v>-4.6913903813392777</v>
      </c>
      <c r="H65">
        <v>-0.59882531530154326</v>
      </c>
    </row>
    <row r="66" spans="1:8" x14ac:dyDescent="0.3">
      <c r="A66" t="s">
        <v>102</v>
      </c>
      <c r="B66" t="s">
        <v>92</v>
      </c>
      <c r="C66" t="s">
        <v>103</v>
      </c>
      <c r="D66">
        <v>2910</v>
      </c>
      <c r="E66">
        <v>2748</v>
      </c>
      <c r="F66">
        <v>-162</v>
      </c>
      <c r="G66">
        <v>-5.5670103092783529</v>
      </c>
      <c r="H66">
        <v>-0.71343918819668506</v>
      </c>
    </row>
    <row r="67" spans="1:8" x14ac:dyDescent="0.3">
      <c r="A67" t="s">
        <v>176</v>
      </c>
      <c r="B67" t="s">
        <v>168</v>
      </c>
      <c r="C67" t="s">
        <v>177</v>
      </c>
      <c r="D67">
        <v>2480</v>
      </c>
      <c r="E67">
        <v>2320</v>
      </c>
      <c r="F67">
        <v>-160</v>
      </c>
      <c r="G67">
        <v>-6.4516129032258114</v>
      </c>
      <c r="H67">
        <v>-0.83017702050115494</v>
      </c>
    </row>
    <row r="68" spans="1:8" x14ac:dyDescent="0.3">
      <c r="A68" t="s">
        <v>65</v>
      </c>
      <c r="B68" t="s">
        <v>63</v>
      </c>
      <c r="C68" t="s">
        <v>66</v>
      </c>
      <c r="D68">
        <v>3205</v>
      </c>
      <c r="E68">
        <v>2986</v>
      </c>
      <c r="F68">
        <v>-219</v>
      </c>
      <c r="G68">
        <v>-6.8330733229329148</v>
      </c>
      <c r="H68">
        <v>-0.88081528241106266</v>
      </c>
    </row>
    <row r="69" spans="1:8" x14ac:dyDescent="0.3">
      <c r="A69" t="s">
        <v>110</v>
      </c>
      <c r="B69" t="s">
        <v>92</v>
      </c>
      <c r="C69" t="s">
        <v>111</v>
      </c>
      <c r="D69">
        <v>23424</v>
      </c>
      <c r="E69">
        <v>21733</v>
      </c>
      <c r="F69">
        <v>-1691</v>
      </c>
      <c r="G69">
        <v>-7.2190915300546443</v>
      </c>
      <c r="H69">
        <v>-0.93224360087382774</v>
      </c>
    </row>
    <row r="70" spans="1:8" x14ac:dyDescent="0.3">
      <c r="A70" t="s">
        <v>172</v>
      </c>
      <c r="B70" t="s">
        <v>168</v>
      </c>
      <c r="C70" t="s">
        <v>173</v>
      </c>
      <c r="D70">
        <v>5899</v>
      </c>
      <c r="E70">
        <v>5447</v>
      </c>
      <c r="F70">
        <v>-452</v>
      </c>
      <c r="G70">
        <v>-7.6623156467197866</v>
      </c>
      <c r="H70">
        <v>-0.99152473966117594</v>
      </c>
    </row>
    <row r="71" spans="1:8" x14ac:dyDescent="0.3">
      <c r="A71" t="s">
        <v>187</v>
      </c>
      <c r="B71" t="s">
        <v>185</v>
      </c>
      <c r="C71" t="s">
        <v>188</v>
      </c>
      <c r="D71">
        <v>4984</v>
      </c>
      <c r="E71">
        <v>4601</v>
      </c>
      <c r="F71">
        <v>-383</v>
      </c>
      <c r="G71">
        <v>-7.6845906902086707</v>
      </c>
      <c r="H71">
        <v>-0.99451058842766615</v>
      </c>
    </row>
    <row r="72" spans="1:8" x14ac:dyDescent="0.3">
      <c r="A72" t="s">
        <v>144</v>
      </c>
      <c r="B72" t="s">
        <v>124</v>
      </c>
      <c r="C72" t="s">
        <v>145</v>
      </c>
      <c r="D72">
        <v>2362</v>
      </c>
      <c r="E72">
        <v>2146</v>
      </c>
      <c r="F72">
        <v>-216</v>
      </c>
      <c r="G72">
        <v>-9.144792548687553</v>
      </c>
      <c r="H72">
        <v>-1.191631578217234</v>
      </c>
    </row>
    <row r="73" spans="1:8" x14ac:dyDescent="0.3">
      <c r="A73" t="s">
        <v>191</v>
      </c>
      <c r="B73" t="s">
        <v>185</v>
      </c>
      <c r="C73" t="s">
        <v>192</v>
      </c>
      <c r="D73">
        <v>6707</v>
      </c>
      <c r="E73">
        <v>6080</v>
      </c>
      <c r="F73">
        <v>-627</v>
      </c>
      <c r="G73">
        <v>-9.3484419263456076</v>
      </c>
      <c r="H73">
        <v>-1.2193432853442761</v>
      </c>
    </row>
    <row r="74" spans="1:8" x14ac:dyDescent="0.3">
      <c r="A74" t="s">
        <v>148</v>
      </c>
      <c r="B74" t="s">
        <v>124</v>
      </c>
      <c r="C74" t="s">
        <v>149</v>
      </c>
      <c r="D74">
        <v>2503</v>
      </c>
      <c r="E74">
        <v>2261</v>
      </c>
      <c r="F74">
        <v>-242</v>
      </c>
      <c r="G74">
        <v>-9.6683979224930106</v>
      </c>
      <c r="H74">
        <v>-1.2629917013233021</v>
      </c>
    </row>
    <row r="75" spans="1:8" x14ac:dyDescent="0.3">
      <c r="A75" t="s">
        <v>104</v>
      </c>
      <c r="B75" t="s">
        <v>92</v>
      </c>
      <c r="C75" t="s">
        <v>105</v>
      </c>
      <c r="D75">
        <v>558</v>
      </c>
      <c r="E75">
        <v>503</v>
      </c>
      <c r="F75">
        <v>-55</v>
      </c>
      <c r="G75">
        <v>-9.8566308243727576</v>
      </c>
      <c r="H75">
        <v>-1.2887336883625311</v>
      </c>
    </row>
    <row r="76" spans="1:8" x14ac:dyDescent="0.3">
      <c r="A76" t="s">
        <v>136</v>
      </c>
      <c r="B76" t="s">
        <v>124</v>
      </c>
      <c r="C76" t="s">
        <v>137</v>
      </c>
      <c r="D76">
        <v>1407</v>
      </c>
      <c r="E76">
        <v>1266</v>
      </c>
      <c r="F76">
        <v>-141</v>
      </c>
      <c r="G76">
        <v>-10.021321961620471</v>
      </c>
      <c r="H76">
        <v>-1.311294804020646</v>
      </c>
    </row>
    <row r="77" spans="1:8" x14ac:dyDescent="0.3">
      <c r="A77" t="s">
        <v>96</v>
      </c>
      <c r="B77" t="s">
        <v>92</v>
      </c>
      <c r="C77" t="s">
        <v>97</v>
      </c>
      <c r="D77">
        <v>2643</v>
      </c>
      <c r="E77">
        <v>2375</v>
      </c>
      <c r="F77">
        <v>-268</v>
      </c>
      <c r="G77">
        <v>-10.139992432841471</v>
      </c>
      <c r="H77">
        <v>-1.327573936145876</v>
      </c>
    </row>
    <row r="78" spans="1:8" x14ac:dyDescent="0.3">
      <c r="A78" t="s">
        <v>170</v>
      </c>
      <c r="B78" t="s">
        <v>168</v>
      </c>
      <c r="C78" t="s">
        <v>171</v>
      </c>
      <c r="D78">
        <v>5127</v>
      </c>
      <c r="E78">
        <v>4605</v>
      </c>
      <c r="F78">
        <v>-522</v>
      </c>
      <c r="G78">
        <v>-10.1813926272674</v>
      </c>
      <c r="H78">
        <v>-1.333257612029348</v>
      </c>
    </row>
    <row r="79" spans="1:8" x14ac:dyDescent="0.3">
      <c r="A79" t="s">
        <v>71</v>
      </c>
      <c r="B79" t="s">
        <v>63</v>
      </c>
      <c r="C79" t="s">
        <v>72</v>
      </c>
      <c r="D79">
        <v>2460</v>
      </c>
      <c r="E79">
        <v>2184</v>
      </c>
      <c r="F79">
        <v>-276</v>
      </c>
      <c r="G79">
        <v>-11.219512195121951</v>
      </c>
      <c r="H79">
        <v>-1.476531913972168</v>
      </c>
    </row>
    <row r="80" spans="1:8" x14ac:dyDescent="0.3">
      <c r="A80" t="s">
        <v>98</v>
      </c>
      <c r="B80" t="s">
        <v>92</v>
      </c>
      <c r="C80" t="s">
        <v>99</v>
      </c>
      <c r="D80">
        <v>4248</v>
      </c>
      <c r="E80">
        <v>3759</v>
      </c>
      <c r="F80">
        <v>-489</v>
      </c>
      <c r="G80">
        <v>-11.51129943502824</v>
      </c>
      <c r="H80">
        <v>-1.517066316656956</v>
      </c>
    </row>
    <row r="81" spans="1:8" x14ac:dyDescent="0.3">
      <c r="A81" t="s">
        <v>85</v>
      </c>
      <c r="B81" t="s">
        <v>83</v>
      </c>
      <c r="C81" t="s">
        <v>86</v>
      </c>
      <c r="D81">
        <v>5251</v>
      </c>
      <c r="E81">
        <v>4530</v>
      </c>
      <c r="F81">
        <v>-721</v>
      </c>
      <c r="G81">
        <v>-13.730717958484099</v>
      </c>
      <c r="H81">
        <v>-1.8292694270812591</v>
      </c>
    </row>
    <row r="82" spans="1:8" x14ac:dyDescent="0.3">
      <c r="A82" t="s">
        <v>159</v>
      </c>
      <c r="B82" t="s">
        <v>151</v>
      </c>
      <c r="C82" t="s">
        <v>160</v>
      </c>
      <c r="D82">
        <v>11845</v>
      </c>
      <c r="E82">
        <v>9912</v>
      </c>
      <c r="F82">
        <v>-1933</v>
      </c>
      <c r="G82">
        <v>-16.31912199240185</v>
      </c>
      <c r="H82">
        <v>-2.202381666347764</v>
      </c>
    </row>
    <row r="83" spans="1:8" x14ac:dyDescent="0.3">
      <c r="A83" t="s">
        <v>132</v>
      </c>
      <c r="B83" t="s">
        <v>124</v>
      </c>
      <c r="C83" t="s">
        <v>133</v>
      </c>
      <c r="D83">
        <v>1212</v>
      </c>
      <c r="E83">
        <v>922</v>
      </c>
      <c r="F83">
        <v>-290</v>
      </c>
      <c r="G83">
        <v>-23.92739273927392</v>
      </c>
      <c r="H83">
        <v>-3.3607529272794201</v>
      </c>
    </row>
    <row r="84" spans="1:8" x14ac:dyDescent="0.3">
      <c r="A84" t="s">
        <v>23</v>
      </c>
      <c r="B84" t="s">
        <v>21</v>
      </c>
      <c r="C84" t="s">
        <v>24</v>
      </c>
      <c r="D84">
        <v>211809</v>
      </c>
      <c r="E84">
        <v>136781</v>
      </c>
      <c r="F84">
        <v>-75028</v>
      </c>
      <c r="G84">
        <v>-35.422479686887719</v>
      </c>
      <c r="H84">
        <v>-5.3195811322714546</v>
      </c>
    </row>
    <row r="85" spans="1:8" x14ac:dyDescent="0.3">
      <c r="A85" t="s">
        <v>43</v>
      </c>
      <c r="B85" t="s">
        <v>21</v>
      </c>
      <c r="C85" t="s">
        <v>44</v>
      </c>
      <c r="E85">
        <v>89279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57"/>
  <sheetViews>
    <sheetView workbookViewId="0"/>
  </sheetViews>
  <sheetFormatPr baseColWidth="10" defaultColWidth="9.109375" defaultRowHeight="14.4" x14ac:dyDescent="0.3"/>
  <cols>
    <col min="6" max="6" width="24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</row>
    <row r="2" spans="1:11" x14ac:dyDescent="0.3">
      <c r="A2" t="s">
        <v>19</v>
      </c>
      <c r="B2" t="s">
        <v>20</v>
      </c>
      <c r="C2" t="s">
        <v>21</v>
      </c>
      <c r="D2" t="s">
        <v>22</v>
      </c>
      <c r="E2">
        <v>2018</v>
      </c>
      <c r="F2" t="s">
        <v>207</v>
      </c>
      <c r="G2" t="s">
        <v>208</v>
      </c>
      <c r="H2">
        <v>335811</v>
      </c>
      <c r="I2" t="s">
        <v>209</v>
      </c>
      <c r="J2" t="s">
        <v>210</v>
      </c>
      <c r="K2" t="s">
        <v>211</v>
      </c>
    </row>
    <row r="3" spans="1:11" x14ac:dyDescent="0.3">
      <c r="A3" t="s">
        <v>23</v>
      </c>
      <c r="B3" t="s">
        <v>20</v>
      </c>
      <c r="C3" t="s">
        <v>21</v>
      </c>
      <c r="D3" t="s">
        <v>24</v>
      </c>
      <c r="E3">
        <v>2018</v>
      </c>
      <c r="F3" t="s">
        <v>207</v>
      </c>
      <c r="G3" t="s">
        <v>208</v>
      </c>
      <c r="H3">
        <v>211809</v>
      </c>
      <c r="I3" t="s">
        <v>209</v>
      </c>
      <c r="J3" t="s">
        <v>210</v>
      </c>
      <c r="K3" t="s">
        <v>211</v>
      </c>
    </row>
    <row r="4" spans="1:11" x14ac:dyDescent="0.3">
      <c r="A4" t="s">
        <v>25</v>
      </c>
      <c r="B4" t="s">
        <v>20</v>
      </c>
      <c r="C4" t="s">
        <v>21</v>
      </c>
      <c r="D4" t="s">
        <v>26</v>
      </c>
      <c r="E4">
        <v>2018</v>
      </c>
      <c r="F4" t="s">
        <v>207</v>
      </c>
      <c r="G4" t="s">
        <v>208</v>
      </c>
      <c r="H4">
        <v>38506</v>
      </c>
      <c r="I4" t="s">
        <v>209</v>
      </c>
      <c r="J4" t="s">
        <v>210</v>
      </c>
      <c r="K4" t="s">
        <v>211</v>
      </c>
    </row>
    <row r="5" spans="1:11" x14ac:dyDescent="0.3">
      <c r="A5" t="s">
        <v>27</v>
      </c>
      <c r="B5" t="s">
        <v>20</v>
      </c>
      <c r="C5" t="s">
        <v>21</v>
      </c>
      <c r="D5" t="s">
        <v>28</v>
      </c>
      <c r="E5">
        <v>2018</v>
      </c>
      <c r="F5" t="s">
        <v>207</v>
      </c>
      <c r="G5" t="s">
        <v>208</v>
      </c>
      <c r="H5">
        <v>78375</v>
      </c>
      <c r="I5" t="s">
        <v>209</v>
      </c>
      <c r="J5" t="s">
        <v>210</v>
      </c>
      <c r="K5" t="s">
        <v>211</v>
      </c>
    </row>
    <row r="6" spans="1:11" x14ac:dyDescent="0.3">
      <c r="A6" t="s">
        <v>29</v>
      </c>
      <c r="B6" t="s">
        <v>20</v>
      </c>
      <c r="C6" t="s">
        <v>21</v>
      </c>
      <c r="D6" t="s">
        <v>30</v>
      </c>
      <c r="E6">
        <v>2018</v>
      </c>
      <c r="F6" t="s">
        <v>207</v>
      </c>
      <c r="G6" t="s">
        <v>208</v>
      </c>
      <c r="H6">
        <v>210654</v>
      </c>
      <c r="I6" t="s">
        <v>209</v>
      </c>
      <c r="J6" t="s">
        <v>210</v>
      </c>
      <c r="K6" t="s">
        <v>211</v>
      </c>
    </row>
    <row r="7" spans="1:11" x14ac:dyDescent="0.3">
      <c r="A7" t="s">
        <v>31</v>
      </c>
      <c r="B7" t="s">
        <v>20</v>
      </c>
      <c r="C7" t="s">
        <v>21</v>
      </c>
      <c r="D7" t="s">
        <v>32</v>
      </c>
      <c r="E7">
        <v>2018</v>
      </c>
      <c r="F7" t="s">
        <v>207</v>
      </c>
      <c r="G7" t="s">
        <v>208</v>
      </c>
      <c r="H7">
        <v>41158</v>
      </c>
      <c r="I7" t="s">
        <v>209</v>
      </c>
      <c r="J7" t="s">
        <v>210</v>
      </c>
      <c r="K7" t="s">
        <v>211</v>
      </c>
    </row>
    <row r="8" spans="1:11" x14ac:dyDescent="0.3">
      <c r="A8" t="s">
        <v>33</v>
      </c>
      <c r="B8" t="s">
        <v>20</v>
      </c>
      <c r="C8" t="s">
        <v>21</v>
      </c>
      <c r="D8" t="s">
        <v>34</v>
      </c>
      <c r="E8">
        <v>2018</v>
      </c>
      <c r="F8" t="s">
        <v>207</v>
      </c>
      <c r="G8" t="s">
        <v>208</v>
      </c>
      <c r="H8">
        <v>40336</v>
      </c>
      <c r="I8" t="s">
        <v>209</v>
      </c>
      <c r="J8" t="s">
        <v>210</v>
      </c>
      <c r="K8" t="s">
        <v>211</v>
      </c>
    </row>
    <row r="9" spans="1:11" x14ac:dyDescent="0.3">
      <c r="A9" t="s">
        <v>35</v>
      </c>
      <c r="B9" t="s">
        <v>20</v>
      </c>
      <c r="C9" t="s">
        <v>21</v>
      </c>
      <c r="D9" t="s">
        <v>36</v>
      </c>
      <c r="E9">
        <v>2018</v>
      </c>
      <c r="F9" t="s">
        <v>207</v>
      </c>
      <c r="G9" t="s">
        <v>208</v>
      </c>
      <c r="H9">
        <v>3866</v>
      </c>
      <c r="I9" t="s">
        <v>209</v>
      </c>
      <c r="J9" t="s">
        <v>210</v>
      </c>
      <c r="K9" t="s">
        <v>211</v>
      </c>
    </row>
    <row r="10" spans="1:11" x14ac:dyDescent="0.3">
      <c r="A10" t="s">
        <v>37</v>
      </c>
      <c r="B10" t="s">
        <v>20</v>
      </c>
      <c r="C10" t="s">
        <v>21</v>
      </c>
      <c r="D10" t="s">
        <v>38</v>
      </c>
      <c r="E10">
        <v>2018</v>
      </c>
      <c r="F10" t="s">
        <v>207</v>
      </c>
      <c r="G10" t="s">
        <v>208</v>
      </c>
      <c r="H10">
        <v>20983</v>
      </c>
      <c r="I10" t="s">
        <v>209</v>
      </c>
      <c r="J10" t="s">
        <v>210</v>
      </c>
      <c r="K10" t="s">
        <v>211</v>
      </c>
    </row>
    <row r="11" spans="1:11" x14ac:dyDescent="0.3">
      <c r="A11" t="s">
        <v>39</v>
      </c>
      <c r="B11" t="s">
        <v>20</v>
      </c>
      <c r="C11" t="s">
        <v>21</v>
      </c>
      <c r="D11" t="s">
        <v>40</v>
      </c>
      <c r="E11">
        <v>2018</v>
      </c>
      <c r="F11" t="s">
        <v>207</v>
      </c>
      <c r="G11" t="s">
        <v>208</v>
      </c>
      <c r="H11">
        <v>4437</v>
      </c>
      <c r="I11" t="s">
        <v>209</v>
      </c>
      <c r="J11" t="s">
        <v>210</v>
      </c>
      <c r="K11" t="s">
        <v>211</v>
      </c>
    </row>
    <row r="12" spans="1:11" x14ac:dyDescent="0.3">
      <c r="A12" t="s">
        <v>41</v>
      </c>
      <c r="B12" t="s">
        <v>20</v>
      </c>
      <c r="C12" t="s">
        <v>21</v>
      </c>
      <c r="D12" t="s">
        <v>42</v>
      </c>
      <c r="E12">
        <v>2018</v>
      </c>
      <c r="F12" t="s">
        <v>207</v>
      </c>
      <c r="G12" t="s">
        <v>208</v>
      </c>
      <c r="H12">
        <v>74095</v>
      </c>
      <c r="I12" t="s">
        <v>209</v>
      </c>
      <c r="J12" t="s">
        <v>210</v>
      </c>
      <c r="K12" t="s">
        <v>211</v>
      </c>
    </row>
    <row r="13" spans="1:11" x14ac:dyDescent="0.3">
      <c r="A13" t="s">
        <v>43</v>
      </c>
      <c r="B13" t="s">
        <v>20</v>
      </c>
      <c r="C13" t="s">
        <v>21</v>
      </c>
      <c r="D13" t="s">
        <v>44</v>
      </c>
      <c r="E13">
        <v>2018</v>
      </c>
      <c r="F13" t="s">
        <v>207</v>
      </c>
      <c r="G13" t="s">
        <v>208</v>
      </c>
      <c r="I13" t="s">
        <v>209</v>
      </c>
      <c r="J13" t="s">
        <v>210</v>
      </c>
      <c r="K13" t="s">
        <v>211</v>
      </c>
    </row>
    <row r="14" spans="1:11" x14ac:dyDescent="0.3">
      <c r="A14" t="s">
        <v>45</v>
      </c>
      <c r="B14" t="s">
        <v>20</v>
      </c>
      <c r="C14" t="s">
        <v>46</v>
      </c>
      <c r="D14" t="s">
        <v>47</v>
      </c>
      <c r="E14">
        <v>2018</v>
      </c>
      <c r="F14" t="s">
        <v>207</v>
      </c>
      <c r="G14" t="s">
        <v>208</v>
      </c>
      <c r="H14">
        <v>6858</v>
      </c>
      <c r="I14" t="s">
        <v>209</v>
      </c>
      <c r="J14" t="s">
        <v>210</v>
      </c>
      <c r="K14" t="s">
        <v>211</v>
      </c>
    </row>
    <row r="15" spans="1:11" x14ac:dyDescent="0.3">
      <c r="A15" t="s">
        <v>48</v>
      </c>
      <c r="B15" t="s">
        <v>20</v>
      </c>
      <c r="C15" t="s">
        <v>46</v>
      </c>
      <c r="D15" t="s">
        <v>49</v>
      </c>
      <c r="E15">
        <v>2018</v>
      </c>
      <c r="F15" t="s">
        <v>207</v>
      </c>
      <c r="G15" t="s">
        <v>208</v>
      </c>
      <c r="H15">
        <v>15849</v>
      </c>
      <c r="I15" t="s">
        <v>209</v>
      </c>
      <c r="J15" t="s">
        <v>210</v>
      </c>
      <c r="K15" t="s">
        <v>211</v>
      </c>
    </row>
    <row r="16" spans="1:11" x14ac:dyDescent="0.3">
      <c r="A16" t="s">
        <v>50</v>
      </c>
      <c r="B16" t="s">
        <v>20</v>
      </c>
      <c r="C16" t="s">
        <v>46</v>
      </c>
      <c r="D16" t="s">
        <v>51</v>
      </c>
      <c r="E16">
        <v>2018</v>
      </c>
      <c r="F16" t="s">
        <v>207</v>
      </c>
      <c r="G16" t="s">
        <v>208</v>
      </c>
      <c r="H16">
        <v>9828</v>
      </c>
      <c r="I16" t="s">
        <v>209</v>
      </c>
      <c r="J16" t="s">
        <v>210</v>
      </c>
      <c r="K16" t="s">
        <v>211</v>
      </c>
    </row>
    <row r="17" spans="1:11" x14ac:dyDescent="0.3">
      <c r="A17" t="s">
        <v>52</v>
      </c>
      <c r="B17" t="s">
        <v>20</v>
      </c>
      <c r="C17" t="s">
        <v>46</v>
      </c>
      <c r="D17" t="s">
        <v>53</v>
      </c>
      <c r="E17">
        <v>2018</v>
      </c>
      <c r="F17" t="s">
        <v>207</v>
      </c>
      <c r="G17" t="s">
        <v>208</v>
      </c>
      <c r="H17">
        <v>2694</v>
      </c>
      <c r="I17" t="s">
        <v>209</v>
      </c>
      <c r="J17" t="s">
        <v>210</v>
      </c>
      <c r="K17" t="s">
        <v>211</v>
      </c>
    </row>
    <row r="18" spans="1:11" x14ac:dyDescent="0.3">
      <c r="A18" t="s">
        <v>54</v>
      </c>
      <c r="B18" t="s">
        <v>20</v>
      </c>
      <c r="C18" t="s">
        <v>46</v>
      </c>
      <c r="D18" t="s">
        <v>55</v>
      </c>
      <c r="E18">
        <v>2018</v>
      </c>
      <c r="F18" t="s">
        <v>207</v>
      </c>
      <c r="G18" t="s">
        <v>208</v>
      </c>
      <c r="H18">
        <v>27827</v>
      </c>
      <c r="I18" t="s">
        <v>209</v>
      </c>
      <c r="J18" t="s">
        <v>210</v>
      </c>
      <c r="K18" t="s">
        <v>211</v>
      </c>
    </row>
    <row r="19" spans="1:11" x14ac:dyDescent="0.3">
      <c r="A19" t="s">
        <v>56</v>
      </c>
      <c r="B19" t="s">
        <v>20</v>
      </c>
      <c r="C19" t="s">
        <v>46</v>
      </c>
      <c r="D19" t="s">
        <v>57</v>
      </c>
      <c r="E19">
        <v>2018</v>
      </c>
      <c r="F19" t="s">
        <v>207</v>
      </c>
      <c r="G19" t="s">
        <v>208</v>
      </c>
      <c r="H19">
        <v>9204</v>
      </c>
      <c r="I19" t="s">
        <v>209</v>
      </c>
      <c r="J19" t="s">
        <v>210</v>
      </c>
      <c r="K19" t="s">
        <v>211</v>
      </c>
    </row>
    <row r="20" spans="1:11" x14ac:dyDescent="0.3">
      <c r="A20" t="s">
        <v>58</v>
      </c>
      <c r="B20" t="s">
        <v>20</v>
      </c>
      <c r="C20" t="s">
        <v>46</v>
      </c>
      <c r="D20" t="s">
        <v>59</v>
      </c>
      <c r="E20">
        <v>2018</v>
      </c>
      <c r="F20" t="s">
        <v>207</v>
      </c>
      <c r="G20" t="s">
        <v>208</v>
      </c>
      <c r="H20">
        <v>19871</v>
      </c>
      <c r="I20" t="s">
        <v>209</v>
      </c>
      <c r="J20" t="s">
        <v>210</v>
      </c>
      <c r="K20" t="s">
        <v>211</v>
      </c>
    </row>
    <row r="21" spans="1:11" x14ac:dyDescent="0.3">
      <c r="A21" t="s">
        <v>60</v>
      </c>
      <c r="B21" t="s">
        <v>20</v>
      </c>
      <c r="C21" t="s">
        <v>46</v>
      </c>
      <c r="D21" t="s">
        <v>61</v>
      </c>
      <c r="E21">
        <v>2018</v>
      </c>
      <c r="F21" t="s">
        <v>207</v>
      </c>
      <c r="G21" t="s">
        <v>208</v>
      </c>
      <c r="H21">
        <v>29719</v>
      </c>
      <c r="I21" t="s">
        <v>209</v>
      </c>
      <c r="J21" t="s">
        <v>210</v>
      </c>
      <c r="K21" t="s">
        <v>211</v>
      </c>
    </row>
    <row r="22" spans="1:11" x14ac:dyDescent="0.3">
      <c r="A22" t="s">
        <v>62</v>
      </c>
      <c r="B22" t="s">
        <v>20</v>
      </c>
      <c r="C22" t="s">
        <v>63</v>
      </c>
      <c r="D22" t="s">
        <v>64</v>
      </c>
      <c r="E22">
        <v>2018</v>
      </c>
      <c r="F22" t="s">
        <v>207</v>
      </c>
      <c r="G22" t="s">
        <v>208</v>
      </c>
      <c r="H22">
        <v>4969</v>
      </c>
      <c r="I22" t="s">
        <v>209</v>
      </c>
      <c r="J22" t="s">
        <v>210</v>
      </c>
      <c r="K22" t="s">
        <v>211</v>
      </c>
    </row>
    <row r="23" spans="1:11" x14ac:dyDescent="0.3">
      <c r="A23" t="s">
        <v>65</v>
      </c>
      <c r="B23" t="s">
        <v>20</v>
      </c>
      <c r="C23" t="s">
        <v>63</v>
      </c>
      <c r="D23" t="s">
        <v>66</v>
      </c>
      <c r="E23">
        <v>2018</v>
      </c>
      <c r="F23" t="s">
        <v>207</v>
      </c>
      <c r="G23" t="s">
        <v>208</v>
      </c>
      <c r="H23">
        <v>3205</v>
      </c>
      <c r="I23" t="s">
        <v>209</v>
      </c>
      <c r="J23" t="s">
        <v>210</v>
      </c>
      <c r="K23" t="s">
        <v>211</v>
      </c>
    </row>
    <row r="24" spans="1:11" x14ac:dyDescent="0.3">
      <c r="A24" t="s">
        <v>67</v>
      </c>
      <c r="B24" t="s">
        <v>20</v>
      </c>
      <c r="C24" t="s">
        <v>63</v>
      </c>
      <c r="D24" t="s">
        <v>68</v>
      </c>
      <c r="E24">
        <v>2018</v>
      </c>
      <c r="F24" t="s">
        <v>207</v>
      </c>
      <c r="G24" t="s">
        <v>208</v>
      </c>
      <c r="H24">
        <v>2148</v>
      </c>
      <c r="I24" t="s">
        <v>209</v>
      </c>
      <c r="J24" t="s">
        <v>210</v>
      </c>
      <c r="K24" t="s">
        <v>211</v>
      </c>
    </row>
    <row r="25" spans="1:11" x14ac:dyDescent="0.3">
      <c r="A25" t="s">
        <v>69</v>
      </c>
      <c r="B25" t="s">
        <v>20</v>
      </c>
      <c r="C25" t="s">
        <v>63</v>
      </c>
      <c r="D25" t="s">
        <v>70</v>
      </c>
      <c r="E25">
        <v>2018</v>
      </c>
      <c r="F25" t="s">
        <v>207</v>
      </c>
      <c r="G25" t="s">
        <v>208</v>
      </c>
      <c r="H25">
        <v>2336</v>
      </c>
      <c r="I25" t="s">
        <v>209</v>
      </c>
      <c r="J25" t="s">
        <v>210</v>
      </c>
      <c r="K25" t="s">
        <v>211</v>
      </c>
    </row>
    <row r="26" spans="1:11" x14ac:dyDescent="0.3">
      <c r="A26" t="s">
        <v>71</v>
      </c>
      <c r="B26" t="s">
        <v>20</v>
      </c>
      <c r="C26" t="s">
        <v>63</v>
      </c>
      <c r="D26" t="s">
        <v>72</v>
      </c>
      <c r="E26">
        <v>2018</v>
      </c>
      <c r="F26" t="s">
        <v>207</v>
      </c>
      <c r="G26" t="s">
        <v>208</v>
      </c>
      <c r="H26">
        <v>2460</v>
      </c>
      <c r="I26" t="s">
        <v>209</v>
      </c>
      <c r="J26" t="s">
        <v>210</v>
      </c>
      <c r="K26" t="s">
        <v>211</v>
      </c>
    </row>
    <row r="27" spans="1:11" x14ac:dyDescent="0.3">
      <c r="A27" t="s">
        <v>73</v>
      </c>
      <c r="B27" t="s">
        <v>20</v>
      </c>
      <c r="C27" t="s">
        <v>63</v>
      </c>
      <c r="D27" t="s">
        <v>74</v>
      </c>
      <c r="E27">
        <v>2018</v>
      </c>
      <c r="F27" t="s">
        <v>207</v>
      </c>
      <c r="G27" t="s">
        <v>208</v>
      </c>
      <c r="H27">
        <v>907</v>
      </c>
      <c r="I27" t="s">
        <v>209</v>
      </c>
      <c r="J27" t="s">
        <v>210</v>
      </c>
      <c r="K27" t="s">
        <v>211</v>
      </c>
    </row>
    <row r="28" spans="1:11" x14ac:dyDescent="0.3">
      <c r="A28" t="s">
        <v>75</v>
      </c>
      <c r="B28" t="s">
        <v>20</v>
      </c>
      <c r="C28" t="s">
        <v>76</v>
      </c>
      <c r="D28" t="s">
        <v>77</v>
      </c>
      <c r="E28">
        <v>2018</v>
      </c>
      <c r="F28" t="s">
        <v>207</v>
      </c>
      <c r="G28" t="s">
        <v>208</v>
      </c>
      <c r="H28">
        <v>48238</v>
      </c>
      <c r="I28" t="s">
        <v>209</v>
      </c>
      <c r="J28" t="s">
        <v>210</v>
      </c>
      <c r="K28" t="s">
        <v>211</v>
      </c>
    </row>
    <row r="29" spans="1:11" x14ac:dyDescent="0.3">
      <c r="A29" t="s">
        <v>78</v>
      </c>
      <c r="B29" t="s">
        <v>20</v>
      </c>
      <c r="C29" t="s">
        <v>76</v>
      </c>
      <c r="D29" t="s">
        <v>79</v>
      </c>
      <c r="E29">
        <v>2018</v>
      </c>
      <c r="F29" t="s">
        <v>207</v>
      </c>
      <c r="G29" t="s">
        <v>208</v>
      </c>
      <c r="H29">
        <v>23447</v>
      </c>
      <c r="I29" t="s">
        <v>209</v>
      </c>
      <c r="J29" t="s">
        <v>210</v>
      </c>
      <c r="K29" t="s">
        <v>211</v>
      </c>
    </row>
    <row r="30" spans="1:11" x14ac:dyDescent="0.3">
      <c r="A30" t="s">
        <v>80</v>
      </c>
      <c r="B30" t="s">
        <v>20</v>
      </c>
      <c r="C30" t="s">
        <v>76</v>
      </c>
      <c r="D30" t="s">
        <v>81</v>
      </c>
      <c r="E30">
        <v>2018</v>
      </c>
      <c r="F30" t="s">
        <v>207</v>
      </c>
      <c r="G30" t="s">
        <v>208</v>
      </c>
      <c r="H30">
        <v>12661</v>
      </c>
      <c r="I30" t="s">
        <v>209</v>
      </c>
      <c r="J30" t="s">
        <v>210</v>
      </c>
      <c r="K30" t="s">
        <v>211</v>
      </c>
    </row>
    <row r="31" spans="1:11" x14ac:dyDescent="0.3">
      <c r="A31" t="s">
        <v>82</v>
      </c>
      <c r="B31" t="s">
        <v>20</v>
      </c>
      <c r="C31" t="s">
        <v>83</v>
      </c>
      <c r="D31" t="s">
        <v>84</v>
      </c>
      <c r="E31">
        <v>2018</v>
      </c>
      <c r="F31" t="s">
        <v>207</v>
      </c>
      <c r="G31" t="s">
        <v>208</v>
      </c>
      <c r="H31">
        <v>12758</v>
      </c>
      <c r="I31" t="s">
        <v>209</v>
      </c>
      <c r="J31" t="s">
        <v>210</v>
      </c>
      <c r="K31" t="s">
        <v>211</v>
      </c>
    </row>
    <row r="32" spans="1:11" x14ac:dyDescent="0.3">
      <c r="A32" t="s">
        <v>85</v>
      </c>
      <c r="B32" t="s">
        <v>20</v>
      </c>
      <c r="C32" t="s">
        <v>83</v>
      </c>
      <c r="D32" t="s">
        <v>86</v>
      </c>
      <c r="E32">
        <v>2018</v>
      </c>
      <c r="F32" t="s">
        <v>207</v>
      </c>
      <c r="G32" t="s">
        <v>208</v>
      </c>
      <c r="H32">
        <v>5251</v>
      </c>
      <c r="I32" t="s">
        <v>209</v>
      </c>
      <c r="J32" t="s">
        <v>210</v>
      </c>
      <c r="K32" t="s">
        <v>211</v>
      </c>
    </row>
    <row r="33" spans="1:11" x14ac:dyDescent="0.3">
      <c r="A33" t="s">
        <v>87</v>
      </c>
      <c r="B33" t="s">
        <v>20</v>
      </c>
      <c r="C33" t="s">
        <v>83</v>
      </c>
      <c r="D33" t="s">
        <v>88</v>
      </c>
      <c r="E33">
        <v>2018</v>
      </c>
      <c r="F33" t="s">
        <v>207</v>
      </c>
      <c r="G33" t="s">
        <v>208</v>
      </c>
      <c r="H33">
        <v>6923</v>
      </c>
      <c r="I33" t="s">
        <v>209</v>
      </c>
      <c r="J33" t="s">
        <v>210</v>
      </c>
      <c r="K33" t="s">
        <v>211</v>
      </c>
    </row>
    <row r="34" spans="1:11" x14ac:dyDescent="0.3">
      <c r="A34" t="s">
        <v>89</v>
      </c>
      <c r="B34" t="s">
        <v>20</v>
      </c>
      <c r="C34" t="s">
        <v>83</v>
      </c>
      <c r="D34" t="s">
        <v>90</v>
      </c>
      <c r="E34">
        <v>2018</v>
      </c>
      <c r="F34" t="s">
        <v>207</v>
      </c>
      <c r="G34" t="s">
        <v>208</v>
      </c>
      <c r="H34">
        <v>6247</v>
      </c>
      <c r="I34" t="s">
        <v>209</v>
      </c>
      <c r="J34" t="s">
        <v>210</v>
      </c>
      <c r="K34" t="s">
        <v>211</v>
      </c>
    </row>
    <row r="35" spans="1:11" x14ac:dyDescent="0.3">
      <c r="A35" t="s">
        <v>91</v>
      </c>
      <c r="B35" t="s">
        <v>20</v>
      </c>
      <c r="C35" t="s">
        <v>92</v>
      </c>
      <c r="D35" t="s">
        <v>93</v>
      </c>
      <c r="E35">
        <v>2018</v>
      </c>
      <c r="F35" t="s">
        <v>207</v>
      </c>
      <c r="G35" t="s">
        <v>208</v>
      </c>
      <c r="H35">
        <v>26502</v>
      </c>
      <c r="I35" t="s">
        <v>209</v>
      </c>
      <c r="J35" t="s">
        <v>210</v>
      </c>
      <c r="K35" t="s">
        <v>211</v>
      </c>
    </row>
    <row r="36" spans="1:11" x14ac:dyDescent="0.3">
      <c r="A36" t="s">
        <v>94</v>
      </c>
      <c r="B36" t="s">
        <v>20</v>
      </c>
      <c r="C36" t="s">
        <v>92</v>
      </c>
      <c r="D36" t="s">
        <v>95</v>
      </c>
      <c r="E36">
        <v>2018</v>
      </c>
      <c r="F36" t="s">
        <v>207</v>
      </c>
      <c r="G36" t="s">
        <v>208</v>
      </c>
      <c r="H36">
        <v>10276</v>
      </c>
      <c r="I36" t="s">
        <v>209</v>
      </c>
      <c r="J36" t="s">
        <v>210</v>
      </c>
      <c r="K36" t="s">
        <v>211</v>
      </c>
    </row>
    <row r="37" spans="1:11" x14ac:dyDescent="0.3">
      <c r="A37" t="s">
        <v>96</v>
      </c>
      <c r="B37" t="s">
        <v>20</v>
      </c>
      <c r="C37" t="s">
        <v>92</v>
      </c>
      <c r="D37" t="s">
        <v>97</v>
      </c>
      <c r="E37">
        <v>2018</v>
      </c>
      <c r="F37" t="s">
        <v>207</v>
      </c>
      <c r="G37" t="s">
        <v>208</v>
      </c>
      <c r="H37">
        <v>2643</v>
      </c>
      <c r="I37" t="s">
        <v>209</v>
      </c>
      <c r="J37" t="s">
        <v>210</v>
      </c>
      <c r="K37" t="s">
        <v>211</v>
      </c>
    </row>
    <row r="38" spans="1:11" x14ac:dyDescent="0.3">
      <c r="A38" t="s">
        <v>98</v>
      </c>
      <c r="B38" t="s">
        <v>20</v>
      </c>
      <c r="C38" t="s">
        <v>92</v>
      </c>
      <c r="D38" t="s">
        <v>99</v>
      </c>
      <c r="E38">
        <v>2018</v>
      </c>
      <c r="F38" t="s">
        <v>207</v>
      </c>
      <c r="G38" t="s">
        <v>208</v>
      </c>
      <c r="H38">
        <v>4248</v>
      </c>
      <c r="I38" t="s">
        <v>209</v>
      </c>
      <c r="J38" t="s">
        <v>210</v>
      </c>
      <c r="K38" t="s">
        <v>211</v>
      </c>
    </row>
    <row r="39" spans="1:11" x14ac:dyDescent="0.3">
      <c r="A39" t="s">
        <v>100</v>
      </c>
      <c r="B39" t="s">
        <v>20</v>
      </c>
      <c r="C39" t="s">
        <v>92</v>
      </c>
      <c r="D39" t="s">
        <v>101</v>
      </c>
      <c r="E39">
        <v>2018</v>
      </c>
      <c r="F39" t="s">
        <v>207</v>
      </c>
      <c r="G39" t="s">
        <v>208</v>
      </c>
      <c r="H39">
        <v>667</v>
      </c>
      <c r="I39" t="s">
        <v>209</v>
      </c>
      <c r="J39" t="s">
        <v>210</v>
      </c>
      <c r="K39" t="s">
        <v>211</v>
      </c>
    </row>
    <row r="40" spans="1:11" x14ac:dyDescent="0.3">
      <c r="A40" t="s">
        <v>102</v>
      </c>
      <c r="B40" t="s">
        <v>20</v>
      </c>
      <c r="C40" t="s">
        <v>92</v>
      </c>
      <c r="D40" t="s">
        <v>103</v>
      </c>
      <c r="E40">
        <v>2018</v>
      </c>
      <c r="F40" t="s">
        <v>207</v>
      </c>
      <c r="G40" t="s">
        <v>208</v>
      </c>
      <c r="H40">
        <v>2910</v>
      </c>
      <c r="I40" t="s">
        <v>209</v>
      </c>
      <c r="J40" t="s">
        <v>210</v>
      </c>
      <c r="K40" t="s">
        <v>211</v>
      </c>
    </row>
    <row r="41" spans="1:11" x14ac:dyDescent="0.3">
      <c r="A41" t="s">
        <v>104</v>
      </c>
      <c r="B41" t="s">
        <v>20</v>
      </c>
      <c r="C41" t="s">
        <v>92</v>
      </c>
      <c r="D41" t="s">
        <v>105</v>
      </c>
      <c r="E41">
        <v>2018</v>
      </c>
      <c r="F41" t="s">
        <v>207</v>
      </c>
      <c r="G41" t="s">
        <v>208</v>
      </c>
      <c r="H41">
        <v>558</v>
      </c>
      <c r="I41" t="s">
        <v>209</v>
      </c>
      <c r="J41" t="s">
        <v>210</v>
      </c>
      <c r="K41" t="s">
        <v>211</v>
      </c>
    </row>
    <row r="42" spans="1:11" x14ac:dyDescent="0.3">
      <c r="A42" t="s">
        <v>106</v>
      </c>
      <c r="B42" t="s">
        <v>20</v>
      </c>
      <c r="C42" t="s">
        <v>92</v>
      </c>
      <c r="D42" t="s">
        <v>107</v>
      </c>
      <c r="E42">
        <v>2018</v>
      </c>
      <c r="F42" t="s">
        <v>207</v>
      </c>
      <c r="G42" t="s">
        <v>208</v>
      </c>
      <c r="H42">
        <v>6506</v>
      </c>
      <c r="I42" t="s">
        <v>209</v>
      </c>
      <c r="J42" t="s">
        <v>210</v>
      </c>
      <c r="K42" t="s">
        <v>211</v>
      </c>
    </row>
    <row r="43" spans="1:11" x14ac:dyDescent="0.3">
      <c r="A43" t="s">
        <v>108</v>
      </c>
      <c r="B43" t="s">
        <v>20</v>
      </c>
      <c r="C43" t="s">
        <v>92</v>
      </c>
      <c r="D43" t="s">
        <v>109</v>
      </c>
      <c r="E43">
        <v>2018</v>
      </c>
      <c r="F43" t="s">
        <v>207</v>
      </c>
      <c r="G43" t="s">
        <v>208</v>
      </c>
      <c r="H43">
        <v>7631</v>
      </c>
      <c r="I43" t="s">
        <v>209</v>
      </c>
      <c r="J43" t="s">
        <v>210</v>
      </c>
      <c r="K43" t="s">
        <v>211</v>
      </c>
    </row>
    <row r="44" spans="1:11" x14ac:dyDescent="0.3">
      <c r="A44" t="s">
        <v>110</v>
      </c>
      <c r="B44" t="s">
        <v>20</v>
      </c>
      <c r="C44" t="s">
        <v>92</v>
      </c>
      <c r="D44" t="s">
        <v>111</v>
      </c>
      <c r="E44">
        <v>2018</v>
      </c>
      <c r="F44" t="s">
        <v>207</v>
      </c>
      <c r="G44" t="s">
        <v>208</v>
      </c>
      <c r="H44">
        <v>23424</v>
      </c>
      <c r="I44" t="s">
        <v>209</v>
      </c>
      <c r="J44" t="s">
        <v>210</v>
      </c>
      <c r="K44" t="s">
        <v>211</v>
      </c>
    </row>
    <row r="45" spans="1:11" x14ac:dyDescent="0.3">
      <c r="A45" t="s">
        <v>112</v>
      </c>
      <c r="B45" t="s">
        <v>20</v>
      </c>
      <c r="C45" t="s">
        <v>113</v>
      </c>
      <c r="D45" t="s">
        <v>114</v>
      </c>
      <c r="E45">
        <v>2018</v>
      </c>
      <c r="F45" t="s">
        <v>207</v>
      </c>
      <c r="G45" t="s">
        <v>208</v>
      </c>
      <c r="H45">
        <v>18747</v>
      </c>
      <c r="I45" t="s">
        <v>209</v>
      </c>
      <c r="J45" t="s">
        <v>210</v>
      </c>
      <c r="K45" t="s">
        <v>211</v>
      </c>
    </row>
    <row r="46" spans="1:11" x14ac:dyDescent="0.3">
      <c r="A46" t="s">
        <v>115</v>
      </c>
      <c r="B46" t="s">
        <v>20</v>
      </c>
      <c r="C46" t="s">
        <v>113</v>
      </c>
      <c r="D46" t="s">
        <v>116</v>
      </c>
      <c r="E46">
        <v>2018</v>
      </c>
      <c r="F46" t="s">
        <v>207</v>
      </c>
      <c r="G46" t="s">
        <v>208</v>
      </c>
      <c r="H46">
        <v>42788</v>
      </c>
      <c r="I46" t="s">
        <v>209</v>
      </c>
      <c r="J46" t="s">
        <v>210</v>
      </c>
      <c r="K46" t="s">
        <v>211</v>
      </c>
    </row>
    <row r="47" spans="1:11" x14ac:dyDescent="0.3">
      <c r="A47" t="s">
        <v>117</v>
      </c>
      <c r="B47" t="s">
        <v>20</v>
      </c>
      <c r="C47" t="s">
        <v>113</v>
      </c>
      <c r="D47" t="s">
        <v>118</v>
      </c>
      <c r="E47">
        <v>2018</v>
      </c>
      <c r="F47" t="s">
        <v>207</v>
      </c>
      <c r="G47" t="s">
        <v>208</v>
      </c>
      <c r="H47">
        <v>4384</v>
      </c>
      <c r="I47" t="s">
        <v>209</v>
      </c>
      <c r="J47" t="s">
        <v>210</v>
      </c>
      <c r="K47" t="s">
        <v>211</v>
      </c>
    </row>
    <row r="48" spans="1:11" x14ac:dyDescent="0.3">
      <c r="A48" t="s">
        <v>119</v>
      </c>
      <c r="B48" t="s">
        <v>20</v>
      </c>
      <c r="C48" t="s">
        <v>113</v>
      </c>
      <c r="D48" t="s">
        <v>120</v>
      </c>
      <c r="E48">
        <v>2018</v>
      </c>
      <c r="F48" t="s">
        <v>207</v>
      </c>
      <c r="G48" t="s">
        <v>208</v>
      </c>
      <c r="H48">
        <v>31002</v>
      </c>
      <c r="I48" t="s">
        <v>209</v>
      </c>
      <c r="J48" t="s">
        <v>210</v>
      </c>
      <c r="K48" t="s">
        <v>211</v>
      </c>
    </row>
    <row r="49" spans="1:11" x14ac:dyDescent="0.3">
      <c r="A49" t="s">
        <v>121</v>
      </c>
      <c r="B49" t="s">
        <v>20</v>
      </c>
      <c r="C49" t="s">
        <v>113</v>
      </c>
      <c r="D49" t="s">
        <v>122</v>
      </c>
      <c r="E49">
        <v>2018</v>
      </c>
      <c r="F49" t="s">
        <v>207</v>
      </c>
      <c r="G49" t="s">
        <v>208</v>
      </c>
      <c r="H49">
        <v>12455</v>
      </c>
      <c r="I49" t="s">
        <v>209</v>
      </c>
      <c r="J49" t="s">
        <v>210</v>
      </c>
      <c r="K49" t="s">
        <v>211</v>
      </c>
    </row>
    <row r="50" spans="1:11" x14ac:dyDescent="0.3">
      <c r="A50" t="s">
        <v>123</v>
      </c>
      <c r="B50" t="s">
        <v>20</v>
      </c>
      <c r="C50" t="s">
        <v>124</v>
      </c>
      <c r="D50" t="s">
        <v>125</v>
      </c>
      <c r="E50">
        <v>2018</v>
      </c>
      <c r="F50" t="s">
        <v>207</v>
      </c>
      <c r="G50" t="s">
        <v>208</v>
      </c>
      <c r="H50">
        <v>13839</v>
      </c>
      <c r="I50" t="s">
        <v>209</v>
      </c>
      <c r="J50" t="s">
        <v>210</v>
      </c>
      <c r="K50" t="s">
        <v>211</v>
      </c>
    </row>
    <row r="51" spans="1:11" x14ac:dyDescent="0.3">
      <c r="A51" t="s">
        <v>126</v>
      </c>
      <c r="B51" t="s">
        <v>20</v>
      </c>
      <c r="C51" t="s">
        <v>124</v>
      </c>
      <c r="D51" t="s">
        <v>127</v>
      </c>
      <c r="E51">
        <v>2018</v>
      </c>
      <c r="F51" t="s">
        <v>207</v>
      </c>
      <c r="G51" t="s">
        <v>208</v>
      </c>
      <c r="H51">
        <v>4160</v>
      </c>
      <c r="I51" t="s">
        <v>209</v>
      </c>
      <c r="J51" t="s">
        <v>210</v>
      </c>
      <c r="K51" t="s">
        <v>211</v>
      </c>
    </row>
    <row r="52" spans="1:11" x14ac:dyDescent="0.3">
      <c r="A52" t="s">
        <v>128</v>
      </c>
      <c r="B52" t="s">
        <v>20</v>
      </c>
      <c r="C52" t="s">
        <v>124</v>
      </c>
      <c r="D52" t="s">
        <v>129</v>
      </c>
      <c r="E52">
        <v>2018</v>
      </c>
      <c r="F52" t="s">
        <v>207</v>
      </c>
      <c r="G52" t="s">
        <v>208</v>
      </c>
      <c r="H52">
        <v>12872</v>
      </c>
      <c r="I52" t="s">
        <v>209</v>
      </c>
      <c r="J52" t="s">
        <v>210</v>
      </c>
      <c r="K52" t="s">
        <v>211</v>
      </c>
    </row>
    <row r="53" spans="1:11" x14ac:dyDescent="0.3">
      <c r="A53" t="s">
        <v>130</v>
      </c>
      <c r="B53" t="s">
        <v>20</v>
      </c>
      <c r="C53" t="s">
        <v>124</v>
      </c>
      <c r="D53" t="s">
        <v>131</v>
      </c>
      <c r="E53">
        <v>2018</v>
      </c>
      <c r="F53" t="s">
        <v>207</v>
      </c>
      <c r="G53" t="s">
        <v>208</v>
      </c>
      <c r="H53">
        <v>6170</v>
      </c>
      <c r="I53" t="s">
        <v>209</v>
      </c>
      <c r="J53" t="s">
        <v>210</v>
      </c>
      <c r="K53" t="s">
        <v>211</v>
      </c>
    </row>
    <row r="54" spans="1:11" x14ac:dyDescent="0.3">
      <c r="A54" t="s">
        <v>132</v>
      </c>
      <c r="B54" t="s">
        <v>20</v>
      </c>
      <c r="C54" t="s">
        <v>124</v>
      </c>
      <c r="D54" t="s">
        <v>133</v>
      </c>
      <c r="E54">
        <v>2018</v>
      </c>
      <c r="F54" t="s">
        <v>207</v>
      </c>
      <c r="G54" t="s">
        <v>208</v>
      </c>
      <c r="H54">
        <v>1212</v>
      </c>
      <c r="I54" t="s">
        <v>209</v>
      </c>
      <c r="J54" t="s">
        <v>210</v>
      </c>
      <c r="K54" t="s">
        <v>211</v>
      </c>
    </row>
    <row r="55" spans="1:11" x14ac:dyDescent="0.3">
      <c r="A55" t="s">
        <v>134</v>
      </c>
      <c r="B55" t="s">
        <v>20</v>
      </c>
      <c r="C55" t="s">
        <v>124</v>
      </c>
      <c r="D55" t="s">
        <v>135</v>
      </c>
      <c r="E55">
        <v>2018</v>
      </c>
      <c r="F55" t="s">
        <v>207</v>
      </c>
      <c r="G55" t="s">
        <v>208</v>
      </c>
      <c r="H55">
        <v>3817</v>
      </c>
      <c r="I55" t="s">
        <v>209</v>
      </c>
      <c r="J55" t="s">
        <v>210</v>
      </c>
      <c r="K55" t="s">
        <v>211</v>
      </c>
    </row>
    <row r="56" spans="1:11" x14ac:dyDescent="0.3">
      <c r="A56" t="s">
        <v>136</v>
      </c>
      <c r="B56" t="s">
        <v>20</v>
      </c>
      <c r="C56" t="s">
        <v>124</v>
      </c>
      <c r="D56" t="s">
        <v>137</v>
      </c>
      <c r="E56">
        <v>2018</v>
      </c>
      <c r="F56" t="s">
        <v>207</v>
      </c>
      <c r="G56" t="s">
        <v>208</v>
      </c>
      <c r="H56">
        <v>1407</v>
      </c>
      <c r="I56" t="s">
        <v>209</v>
      </c>
      <c r="J56" t="s">
        <v>210</v>
      </c>
      <c r="K56" t="s">
        <v>211</v>
      </c>
    </row>
    <row r="57" spans="1:11" x14ac:dyDescent="0.3">
      <c r="A57" t="s">
        <v>138</v>
      </c>
      <c r="B57" t="s">
        <v>20</v>
      </c>
      <c r="C57" t="s">
        <v>124</v>
      </c>
      <c r="D57" t="s">
        <v>139</v>
      </c>
      <c r="E57">
        <v>2018</v>
      </c>
      <c r="F57" t="s">
        <v>207</v>
      </c>
      <c r="G57" t="s">
        <v>208</v>
      </c>
      <c r="H57">
        <v>20312</v>
      </c>
      <c r="I57" t="s">
        <v>209</v>
      </c>
      <c r="J57" t="s">
        <v>210</v>
      </c>
      <c r="K57" t="s">
        <v>211</v>
      </c>
    </row>
    <row r="58" spans="1:11" x14ac:dyDescent="0.3">
      <c r="A58" t="s">
        <v>140</v>
      </c>
      <c r="B58" t="s">
        <v>20</v>
      </c>
      <c r="C58" t="s">
        <v>124</v>
      </c>
      <c r="D58" t="s">
        <v>141</v>
      </c>
      <c r="E58">
        <v>2018</v>
      </c>
      <c r="F58" t="s">
        <v>207</v>
      </c>
      <c r="G58" t="s">
        <v>208</v>
      </c>
      <c r="H58">
        <v>10158</v>
      </c>
      <c r="I58" t="s">
        <v>209</v>
      </c>
      <c r="J58" t="s">
        <v>210</v>
      </c>
      <c r="K58" t="s">
        <v>211</v>
      </c>
    </row>
    <row r="59" spans="1:11" x14ac:dyDescent="0.3">
      <c r="A59" t="s">
        <v>142</v>
      </c>
      <c r="B59" t="s">
        <v>20</v>
      </c>
      <c r="C59" t="s">
        <v>124</v>
      </c>
      <c r="D59" t="s">
        <v>143</v>
      </c>
      <c r="E59">
        <v>2018</v>
      </c>
      <c r="F59" t="s">
        <v>207</v>
      </c>
      <c r="G59" t="s">
        <v>208</v>
      </c>
      <c r="H59">
        <v>1835</v>
      </c>
      <c r="I59" t="s">
        <v>209</v>
      </c>
      <c r="J59" t="s">
        <v>210</v>
      </c>
      <c r="K59" t="s">
        <v>211</v>
      </c>
    </row>
    <row r="60" spans="1:11" x14ac:dyDescent="0.3">
      <c r="A60" t="s">
        <v>144</v>
      </c>
      <c r="B60" t="s">
        <v>20</v>
      </c>
      <c r="C60" t="s">
        <v>124</v>
      </c>
      <c r="D60" t="s">
        <v>145</v>
      </c>
      <c r="E60">
        <v>2018</v>
      </c>
      <c r="F60" t="s">
        <v>207</v>
      </c>
      <c r="G60" t="s">
        <v>208</v>
      </c>
      <c r="H60">
        <v>2362</v>
      </c>
      <c r="I60" t="s">
        <v>209</v>
      </c>
      <c r="J60" t="s">
        <v>210</v>
      </c>
      <c r="K60" t="s">
        <v>211</v>
      </c>
    </row>
    <row r="61" spans="1:11" x14ac:dyDescent="0.3">
      <c r="A61" t="s">
        <v>146</v>
      </c>
      <c r="B61" t="s">
        <v>20</v>
      </c>
      <c r="C61" t="s">
        <v>124</v>
      </c>
      <c r="D61" t="s">
        <v>147</v>
      </c>
      <c r="E61">
        <v>2018</v>
      </c>
      <c r="F61" t="s">
        <v>207</v>
      </c>
      <c r="G61" t="s">
        <v>208</v>
      </c>
      <c r="H61">
        <v>3025</v>
      </c>
      <c r="I61" t="s">
        <v>209</v>
      </c>
      <c r="J61" t="s">
        <v>210</v>
      </c>
      <c r="K61" t="s">
        <v>211</v>
      </c>
    </row>
    <row r="62" spans="1:11" x14ac:dyDescent="0.3">
      <c r="A62" t="s">
        <v>148</v>
      </c>
      <c r="B62" t="s">
        <v>20</v>
      </c>
      <c r="C62" t="s">
        <v>124</v>
      </c>
      <c r="D62" t="s">
        <v>149</v>
      </c>
      <c r="E62">
        <v>2018</v>
      </c>
      <c r="F62" t="s">
        <v>207</v>
      </c>
      <c r="G62" t="s">
        <v>208</v>
      </c>
      <c r="H62">
        <v>2503</v>
      </c>
      <c r="I62" t="s">
        <v>209</v>
      </c>
      <c r="J62" t="s">
        <v>210</v>
      </c>
      <c r="K62" t="s">
        <v>211</v>
      </c>
    </row>
    <row r="63" spans="1:11" x14ac:dyDescent="0.3">
      <c r="A63" t="s">
        <v>150</v>
      </c>
      <c r="B63" t="s">
        <v>20</v>
      </c>
      <c r="C63" t="s">
        <v>151</v>
      </c>
      <c r="D63" t="s">
        <v>152</v>
      </c>
      <c r="E63">
        <v>2018</v>
      </c>
      <c r="F63" t="s">
        <v>207</v>
      </c>
      <c r="G63" t="s">
        <v>208</v>
      </c>
      <c r="H63">
        <v>74786</v>
      </c>
      <c r="I63" t="s">
        <v>209</v>
      </c>
      <c r="J63" t="s">
        <v>210</v>
      </c>
      <c r="K63" t="s">
        <v>211</v>
      </c>
    </row>
    <row r="64" spans="1:11" x14ac:dyDescent="0.3">
      <c r="A64" t="s">
        <v>153</v>
      </c>
      <c r="B64" t="s">
        <v>20</v>
      </c>
      <c r="C64" t="s">
        <v>151</v>
      </c>
      <c r="D64" t="s">
        <v>154</v>
      </c>
      <c r="E64">
        <v>2018</v>
      </c>
      <c r="F64" t="s">
        <v>207</v>
      </c>
      <c r="G64" t="s">
        <v>208</v>
      </c>
      <c r="H64">
        <v>18956</v>
      </c>
      <c r="I64" t="s">
        <v>209</v>
      </c>
      <c r="J64" t="s">
        <v>210</v>
      </c>
      <c r="K64" t="s">
        <v>211</v>
      </c>
    </row>
    <row r="65" spans="1:11" x14ac:dyDescent="0.3">
      <c r="A65" t="s">
        <v>155</v>
      </c>
      <c r="B65" t="s">
        <v>20</v>
      </c>
      <c r="C65" t="s">
        <v>151</v>
      </c>
      <c r="D65" t="s">
        <v>156</v>
      </c>
      <c r="E65">
        <v>2018</v>
      </c>
      <c r="F65" t="s">
        <v>207</v>
      </c>
      <c r="G65" t="s">
        <v>208</v>
      </c>
      <c r="H65">
        <v>9815</v>
      </c>
      <c r="I65" t="s">
        <v>209</v>
      </c>
      <c r="J65" t="s">
        <v>210</v>
      </c>
      <c r="K65" t="s">
        <v>211</v>
      </c>
    </row>
    <row r="66" spans="1:11" x14ac:dyDescent="0.3">
      <c r="A66" t="s">
        <v>157</v>
      </c>
      <c r="B66" t="s">
        <v>20</v>
      </c>
      <c r="C66" t="s">
        <v>151</v>
      </c>
      <c r="D66" t="s">
        <v>158</v>
      </c>
      <c r="E66">
        <v>2018</v>
      </c>
      <c r="F66" t="s">
        <v>207</v>
      </c>
      <c r="G66" t="s">
        <v>208</v>
      </c>
      <c r="H66">
        <v>8678</v>
      </c>
      <c r="I66" t="s">
        <v>209</v>
      </c>
      <c r="J66" t="s">
        <v>210</v>
      </c>
      <c r="K66" t="s">
        <v>211</v>
      </c>
    </row>
    <row r="67" spans="1:11" x14ac:dyDescent="0.3">
      <c r="A67" t="s">
        <v>159</v>
      </c>
      <c r="B67" t="s">
        <v>20</v>
      </c>
      <c r="C67" t="s">
        <v>151</v>
      </c>
      <c r="D67" t="s">
        <v>160</v>
      </c>
      <c r="E67">
        <v>2018</v>
      </c>
      <c r="F67" t="s">
        <v>207</v>
      </c>
      <c r="G67" t="s">
        <v>208</v>
      </c>
      <c r="H67">
        <v>11845</v>
      </c>
      <c r="I67" t="s">
        <v>209</v>
      </c>
      <c r="J67" t="s">
        <v>210</v>
      </c>
      <c r="K67" t="s">
        <v>211</v>
      </c>
    </row>
    <row r="68" spans="1:11" x14ac:dyDescent="0.3">
      <c r="A68" t="s">
        <v>161</v>
      </c>
      <c r="B68" t="s">
        <v>20</v>
      </c>
      <c r="C68" t="s">
        <v>151</v>
      </c>
      <c r="D68" t="s">
        <v>162</v>
      </c>
      <c r="E68">
        <v>2018</v>
      </c>
      <c r="F68" t="s">
        <v>207</v>
      </c>
      <c r="G68" t="s">
        <v>208</v>
      </c>
      <c r="H68">
        <v>14533</v>
      </c>
      <c r="I68" t="s">
        <v>209</v>
      </c>
      <c r="J68" t="s">
        <v>210</v>
      </c>
      <c r="K68" t="s">
        <v>211</v>
      </c>
    </row>
    <row r="69" spans="1:11" x14ac:dyDescent="0.3">
      <c r="A69" t="s">
        <v>163</v>
      </c>
      <c r="B69" t="s">
        <v>20</v>
      </c>
      <c r="C69" t="s">
        <v>151</v>
      </c>
      <c r="D69" t="s">
        <v>164</v>
      </c>
      <c r="E69">
        <v>2018</v>
      </c>
      <c r="F69" t="s">
        <v>207</v>
      </c>
      <c r="G69" t="s">
        <v>208</v>
      </c>
      <c r="H69">
        <v>9762</v>
      </c>
      <c r="I69" t="s">
        <v>209</v>
      </c>
      <c r="J69" t="s">
        <v>210</v>
      </c>
      <c r="K69" t="s">
        <v>211</v>
      </c>
    </row>
    <row r="70" spans="1:11" x14ac:dyDescent="0.3">
      <c r="A70" t="s">
        <v>165</v>
      </c>
      <c r="B70" t="s">
        <v>20</v>
      </c>
      <c r="C70" t="s">
        <v>151</v>
      </c>
      <c r="D70" t="s">
        <v>166</v>
      </c>
      <c r="E70">
        <v>2018</v>
      </c>
      <c r="F70" t="s">
        <v>207</v>
      </c>
      <c r="G70" t="s">
        <v>208</v>
      </c>
      <c r="H70">
        <v>14052</v>
      </c>
      <c r="I70" t="s">
        <v>209</v>
      </c>
      <c r="J70" t="s">
        <v>210</v>
      </c>
      <c r="K70" t="s">
        <v>211</v>
      </c>
    </row>
    <row r="71" spans="1:11" x14ac:dyDescent="0.3">
      <c r="A71" t="s">
        <v>167</v>
      </c>
      <c r="B71" t="s">
        <v>20</v>
      </c>
      <c r="C71" t="s">
        <v>168</v>
      </c>
      <c r="D71" t="s">
        <v>169</v>
      </c>
      <c r="E71">
        <v>2018</v>
      </c>
      <c r="F71" t="s">
        <v>207</v>
      </c>
      <c r="G71" t="s">
        <v>208</v>
      </c>
      <c r="H71">
        <v>20223</v>
      </c>
      <c r="I71" t="s">
        <v>209</v>
      </c>
      <c r="J71" t="s">
        <v>210</v>
      </c>
      <c r="K71" t="s">
        <v>211</v>
      </c>
    </row>
    <row r="72" spans="1:11" x14ac:dyDescent="0.3">
      <c r="A72" t="s">
        <v>170</v>
      </c>
      <c r="B72" t="s">
        <v>20</v>
      </c>
      <c r="C72" t="s">
        <v>168</v>
      </c>
      <c r="D72" t="s">
        <v>171</v>
      </c>
      <c r="E72">
        <v>2018</v>
      </c>
      <c r="F72" t="s">
        <v>207</v>
      </c>
      <c r="G72" t="s">
        <v>208</v>
      </c>
      <c r="H72">
        <v>5127</v>
      </c>
      <c r="I72" t="s">
        <v>209</v>
      </c>
      <c r="J72" t="s">
        <v>210</v>
      </c>
      <c r="K72" t="s">
        <v>211</v>
      </c>
    </row>
    <row r="73" spans="1:11" x14ac:dyDescent="0.3">
      <c r="A73" t="s">
        <v>172</v>
      </c>
      <c r="B73" t="s">
        <v>20</v>
      </c>
      <c r="C73" t="s">
        <v>168</v>
      </c>
      <c r="D73" t="s">
        <v>173</v>
      </c>
      <c r="E73">
        <v>2018</v>
      </c>
      <c r="F73" t="s">
        <v>207</v>
      </c>
      <c r="G73" t="s">
        <v>208</v>
      </c>
      <c r="H73">
        <v>5899</v>
      </c>
      <c r="I73" t="s">
        <v>209</v>
      </c>
      <c r="J73" t="s">
        <v>210</v>
      </c>
      <c r="K73" t="s">
        <v>211</v>
      </c>
    </row>
    <row r="74" spans="1:11" x14ac:dyDescent="0.3">
      <c r="A74" t="s">
        <v>174</v>
      </c>
      <c r="B74" t="s">
        <v>20</v>
      </c>
      <c r="C74" t="s">
        <v>168</v>
      </c>
      <c r="D74" t="s">
        <v>175</v>
      </c>
      <c r="E74">
        <v>2018</v>
      </c>
      <c r="F74" t="s">
        <v>207</v>
      </c>
      <c r="G74" t="s">
        <v>208</v>
      </c>
      <c r="H74">
        <v>1857</v>
      </c>
      <c r="I74" t="s">
        <v>209</v>
      </c>
      <c r="J74" t="s">
        <v>210</v>
      </c>
      <c r="K74" t="s">
        <v>211</v>
      </c>
    </row>
    <row r="75" spans="1:11" x14ac:dyDescent="0.3">
      <c r="A75" t="s">
        <v>176</v>
      </c>
      <c r="B75" t="s">
        <v>20</v>
      </c>
      <c r="C75" t="s">
        <v>168</v>
      </c>
      <c r="D75" t="s">
        <v>177</v>
      </c>
      <c r="E75">
        <v>2018</v>
      </c>
      <c r="F75" t="s">
        <v>207</v>
      </c>
      <c r="G75" t="s">
        <v>208</v>
      </c>
      <c r="H75">
        <v>2480</v>
      </c>
      <c r="I75" t="s">
        <v>209</v>
      </c>
      <c r="J75" t="s">
        <v>210</v>
      </c>
      <c r="K75" t="s">
        <v>211</v>
      </c>
    </row>
    <row r="76" spans="1:11" x14ac:dyDescent="0.3">
      <c r="A76" t="s">
        <v>178</v>
      </c>
      <c r="B76" t="s">
        <v>20</v>
      </c>
      <c r="C76" t="s">
        <v>168</v>
      </c>
      <c r="D76" t="s">
        <v>179</v>
      </c>
      <c r="E76">
        <v>2018</v>
      </c>
      <c r="F76" t="s">
        <v>207</v>
      </c>
      <c r="G76" t="s">
        <v>208</v>
      </c>
      <c r="H76">
        <v>13713</v>
      </c>
      <c r="I76" t="s">
        <v>209</v>
      </c>
      <c r="J76" t="s">
        <v>210</v>
      </c>
      <c r="K76" t="s">
        <v>211</v>
      </c>
    </row>
    <row r="77" spans="1:11" x14ac:dyDescent="0.3">
      <c r="A77" t="s">
        <v>180</v>
      </c>
      <c r="B77" t="s">
        <v>20</v>
      </c>
      <c r="C77" t="s">
        <v>168</v>
      </c>
      <c r="D77" t="s">
        <v>181</v>
      </c>
      <c r="E77">
        <v>2018</v>
      </c>
      <c r="F77" t="s">
        <v>207</v>
      </c>
      <c r="G77" t="s">
        <v>208</v>
      </c>
      <c r="H77">
        <v>3067</v>
      </c>
      <c r="I77" t="s">
        <v>209</v>
      </c>
      <c r="J77" t="s">
        <v>210</v>
      </c>
      <c r="K77" t="s">
        <v>211</v>
      </c>
    </row>
    <row r="78" spans="1:11" x14ac:dyDescent="0.3">
      <c r="A78" t="s">
        <v>182</v>
      </c>
      <c r="B78" t="s">
        <v>20</v>
      </c>
      <c r="C78" t="s">
        <v>168</v>
      </c>
      <c r="D78" t="s">
        <v>183</v>
      </c>
      <c r="E78">
        <v>2018</v>
      </c>
      <c r="F78" t="s">
        <v>207</v>
      </c>
      <c r="G78" t="s">
        <v>208</v>
      </c>
      <c r="H78">
        <v>3677</v>
      </c>
      <c r="I78" t="s">
        <v>209</v>
      </c>
      <c r="J78" t="s">
        <v>210</v>
      </c>
      <c r="K78" t="s">
        <v>211</v>
      </c>
    </row>
    <row r="79" spans="1:11" x14ac:dyDescent="0.3">
      <c r="A79" t="s">
        <v>184</v>
      </c>
      <c r="B79" t="s">
        <v>20</v>
      </c>
      <c r="C79" t="s">
        <v>185</v>
      </c>
      <c r="D79" t="s">
        <v>186</v>
      </c>
      <c r="E79">
        <v>2018</v>
      </c>
      <c r="F79" t="s">
        <v>207</v>
      </c>
      <c r="G79" t="s">
        <v>208</v>
      </c>
      <c r="H79">
        <v>14279</v>
      </c>
      <c r="I79" t="s">
        <v>209</v>
      </c>
      <c r="J79" t="s">
        <v>210</v>
      </c>
      <c r="K79" t="s">
        <v>211</v>
      </c>
    </row>
    <row r="80" spans="1:11" x14ac:dyDescent="0.3">
      <c r="A80" t="s">
        <v>187</v>
      </c>
      <c r="B80" t="s">
        <v>20</v>
      </c>
      <c r="C80" t="s">
        <v>185</v>
      </c>
      <c r="D80" t="s">
        <v>188</v>
      </c>
      <c r="E80">
        <v>2018</v>
      </c>
      <c r="F80" t="s">
        <v>207</v>
      </c>
      <c r="G80" t="s">
        <v>208</v>
      </c>
      <c r="H80">
        <v>4984</v>
      </c>
      <c r="I80" t="s">
        <v>209</v>
      </c>
      <c r="J80" t="s">
        <v>210</v>
      </c>
      <c r="K80" t="s">
        <v>211</v>
      </c>
    </row>
    <row r="81" spans="1:11" x14ac:dyDescent="0.3">
      <c r="A81" t="s">
        <v>189</v>
      </c>
      <c r="B81" t="s">
        <v>20</v>
      </c>
      <c r="C81" t="s">
        <v>185</v>
      </c>
      <c r="D81" t="s">
        <v>190</v>
      </c>
      <c r="E81">
        <v>2018</v>
      </c>
      <c r="F81" t="s">
        <v>207</v>
      </c>
      <c r="G81" t="s">
        <v>208</v>
      </c>
      <c r="H81">
        <v>2537</v>
      </c>
      <c r="I81" t="s">
        <v>209</v>
      </c>
      <c r="J81" t="s">
        <v>210</v>
      </c>
      <c r="K81" t="s">
        <v>211</v>
      </c>
    </row>
    <row r="82" spans="1:11" x14ac:dyDescent="0.3">
      <c r="A82" t="s">
        <v>191</v>
      </c>
      <c r="B82" t="s">
        <v>20</v>
      </c>
      <c r="C82" t="s">
        <v>185</v>
      </c>
      <c r="D82" t="s">
        <v>192</v>
      </c>
      <c r="E82">
        <v>2018</v>
      </c>
      <c r="F82" t="s">
        <v>207</v>
      </c>
      <c r="G82" t="s">
        <v>208</v>
      </c>
      <c r="H82">
        <v>6707</v>
      </c>
      <c r="I82" t="s">
        <v>209</v>
      </c>
      <c r="J82" t="s">
        <v>210</v>
      </c>
      <c r="K82" t="s">
        <v>211</v>
      </c>
    </row>
    <row r="83" spans="1:11" x14ac:dyDescent="0.3">
      <c r="A83" t="s">
        <v>193</v>
      </c>
      <c r="B83" t="s">
        <v>20</v>
      </c>
      <c r="C83" t="s">
        <v>194</v>
      </c>
      <c r="D83" t="s">
        <v>195</v>
      </c>
      <c r="E83">
        <v>2018</v>
      </c>
      <c r="F83" t="s">
        <v>207</v>
      </c>
      <c r="G83" t="s">
        <v>208</v>
      </c>
      <c r="H83">
        <v>56433</v>
      </c>
      <c r="I83" t="s">
        <v>209</v>
      </c>
      <c r="J83" t="s">
        <v>210</v>
      </c>
      <c r="K83" t="s">
        <v>211</v>
      </c>
    </row>
    <row r="84" spans="1:11" x14ac:dyDescent="0.3">
      <c r="A84" t="s">
        <v>196</v>
      </c>
      <c r="B84" t="s">
        <v>20</v>
      </c>
      <c r="C84" t="s">
        <v>194</v>
      </c>
      <c r="D84" t="s">
        <v>197</v>
      </c>
      <c r="E84">
        <v>2018</v>
      </c>
      <c r="F84" t="s">
        <v>207</v>
      </c>
      <c r="G84" t="s">
        <v>208</v>
      </c>
      <c r="H84">
        <v>35857</v>
      </c>
      <c r="I84" t="s">
        <v>209</v>
      </c>
      <c r="J84" t="s">
        <v>210</v>
      </c>
      <c r="K84" t="s">
        <v>211</v>
      </c>
    </row>
    <row r="85" spans="1:11" x14ac:dyDescent="0.3">
      <c r="A85" t="s">
        <v>198</v>
      </c>
      <c r="B85" t="s">
        <v>20</v>
      </c>
      <c r="C85" t="s">
        <v>194</v>
      </c>
      <c r="D85" t="s">
        <v>199</v>
      </c>
      <c r="E85">
        <v>2018</v>
      </c>
      <c r="F85" t="s">
        <v>207</v>
      </c>
      <c r="G85" t="s">
        <v>208</v>
      </c>
      <c r="H85">
        <v>7391</v>
      </c>
      <c r="I85" t="s">
        <v>209</v>
      </c>
      <c r="J85" t="s">
        <v>210</v>
      </c>
      <c r="K85" t="s">
        <v>211</v>
      </c>
    </row>
    <row r="86" spans="1:11" x14ac:dyDescent="0.3">
      <c r="A86" t="s">
        <v>19</v>
      </c>
      <c r="B86" t="s">
        <v>20</v>
      </c>
      <c r="C86" t="s">
        <v>21</v>
      </c>
      <c r="D86" t="s">
        <v>22</v>
      </c>
      <c r="E86">
        <v>2019</v>
      </c>
      <c r="F86" t="s">
        <v>207</v>
      </c>
      <c r="G86" t="s">
        <v>208</v>
      </c>
      <c r="H86">
        <v>340582</v>
      </c>
      <c r="I86" t="s">
        <v>209</v>
      </c>
      <c r="J86" t="s">
        <v>210</v>
      </c>
      <c r="K86" t="s">
        <v>211</v>
      </c>
    </row>
    <row r="87" spans="1:11" x14ac:dyDescent="0.3">
      <c r="A87" t="s">
        <v>23</v>
      </c>
      <c r="B87" t="s">
        <v>20</v>
      </c>
      <c r="C87" t="s">
        <v>21</v>
      </c>
      <c r="D87" t="s">
        <v>24</v>
      </c>
      <c r="E87">
        <v>2019</v>
      </c>
      <c r="F87" t="s">
        <v>207</v>
      </c>
      <c r="G87" t="s">
        <v>208</v>
      </c>
      <c r="H87">
        <v>220624</v>
      </c>
      <c r="I87" t="s">
        <v>209</v>
      </c>
      <c r="J87" t="s">
        <v>210</v>
      </c>
      <c r="K87" t="s">
        <v>211</v>
      </c>
    </row>
    <row r="88" spans="1:11" x14ac:dyDescent="0.3">
      <c r="A88" t="s">
        <v>25</v>
      </c>
      <c r="B88" t="s">
        <v>20</v>
      </c>
      <c r="C88" t="s">
        <v>21</v>
      </c>
      <c r="D88" t="s">
        <v>26</v>
      </c>
      <c r="E88">
        <v>2019</v>
      </c>
      <c r="F88" t="s">
        <v>207</v>
      </c>
      <c r="G88" t="s">
        <v>208</v>
      </c>
      <c r="H88">
        <v>38475</v>
      </c>
      <c r="I88" t="s">
        <v>209</v>
      </c>
      <c r="J88" t="s">
        <v>210</v>
      </c>
      <c r="K88" t="s">
        <v>211</v>
      </c>
    </row>
    <row r="89" spans="1:11" x14ac:dyDescent="0.3">
      <c r="A89" t="s">
        <v>27</v>
      </c>
      <c r="B89" t="s">
        <v>20</v>
      </c>
      <c r="C89" t="s">
        <v>21</v>
      </c>
      <c r="D89" t="s">
        <v>28</v>
      </c>
      <c r="E89">
        <v>2019</v>
      </c>
      <c r="F89" t="s">
        <v>207</v>
      </c>
      <c r="G89" t="s">
        <v>208</v>
      </c>
      <c r="H89">
        <v>82792</v>
      </c>
      <c r="I89" t="s">
        <v>209</v>
      </c>
      <c r="J89" t="s">
        <v>210</v>
      </c>
      <c r="K89" t="s">
        <v>211</v>
      </c>
    </row>
    <row r="90" spans="1:11" x14ac:dyDescent="0.3">
      <c r="A90" t="s">
        <v>29</v>
      </c>
      <c r="B90" t="s">
        <v>20</v>
      </c>
      <c r="C90" t="s">
        <v>21</v>
      </c>
      <c r="D90" t="s">
        <v>30</v>
      </c>
      <c r="E90">
        <v>2019</v>
      </c>
      <c r="F90" t="s">
        <v>207</v>
      </c>
      <c r="G90" t="s">
        <v>208</v>
      </c>
      <c r="H90">
        <v>217756</v>
      </c>
      <c r="I90" t="s">
        <v>209</v>
      </c>
      <c r="J90" t="s">
        <v>210</v>
      </c>
      <c r="K90" t="s">
        <v>211</v>
      </c>
    </row>
    <row r="91" spans="1:11" x14ac:dyDescent="0.3">
      <c r="A91" t="s">
        <v>31</v>
      </c>
      <c r="B91" t="s">
        <v>20</v>
      </c>
      <c r="C91" t="s">
        <v>21</v>
      </c>
      <c r="D91" t="s">
        <v>32</v>
      </c>
      <c r="E91">
        <v>2019</v>
      </c>
      <c r="F91" t="s">
        <v>207</v>
      </c>
      <c r="G91" t="s">
        <v>208</v>
      </c>
      <c r="H91">
        <v>42144</v>
      </c>
      <c r="I91" t="s">
        <v>209</v>
      </c>
      <c r="J91" t="s">
        <v>210</v>
      </c>
      <c r="K91" t="s">
        <v>211</v>
      </c>
    </row>
    <row r="92" spans="1:11" x14ac:dyDescent="0.3">
      <c r="A92" t="s">
        <v>33</v>
      </c>
      <c r="B92" t="s">
        <v>20</v>
      </c>
      <c r="C92" t="s">
        <v>21</v>
      </c>
      <c r="D92" t="s">
        <v>34</v>
      </c>
      <c r="E92">
        <v>2019</v>
      </c>
      <c r="F92" t="s">
        <v>207</v>
      </c>
      <c r="G92" t="s">
        <v>208</v>
      </c>
      <c r="H92">
        <v>41610</v>
      </c>
      <c r="I92" t="s">
        <v>209</v>
      </c>
      <c r="J92" t="s">
        <v>210</v>
      </c>
      <c r="K92" t="s">
        <v>211</v>
      </c>
    </row>
    <row r="93" spans="1:11" x14ac:dyDescent="0.3">
      <c r="A93" t="s">
        <v>35</v>
      </c>
      <c r="B93" t="s">
        <v>20</v>
      </c>
      <c r="C93" t="s">
        <v>21</v>
      </c>
      <c r="D93" t="s">
        <v>36</v>
      </c>
      <c r="E93">
        <v>2019</v>
      </c>
      <c r="F93" t="s">
        <v>207</v>
      </c>
      <c r="G93" t="s">
        <v>208</v>
      </c>
      <c r="H93">
        <v>3900</v>
      </c>
      <c r="I93" t="s">
        <v>209</v>
      </c>
      <c r="J93" t="s">
        <v>210</v>
      </c>
      <c r="K93" t="s">
        <v>211</v>
      </c>
    </row>
    <row r="94" spans="1:11" x14ac:dyDescent="0.3">
      <c r="A94" t="s">
        <v>37</v>
      </c>
      <c r="B94" t="s">
        <v>20</v>
      </c>
      <c r="C94" t="s">
        <v>21</v>
      </c>
      <c r="D94" t="s">
        <v>38</v>
      </c>
      <c r="E94">
        <v>2019</v>
      </c>
      <c r="F94" t="s">
        <v>207</v>
      </c>
      <c r="G94" t="s">
        <v>208</v>
      </c>
      <c r="H94">
        <v>21866</v>
      </c>
      <c r="I94" t="s">
        <v>209</v>
      </c>
      <c r="J94" t="s">
        <v>210</v>
      </c>
      <c r="K94" t="s">
        <v>211</v>
      </c>
    </row>
    <row r="95" spans="1:11" x14ac:dyDescent="0.3">
      <c r="A95" t="s">
        <v>39</v>
      </c>
      <c r="B95" t="s">
        <v>20</v>
      </c>
      <c r="C95" t="s">
        <v>21</v>
      </c>
      <c r="D95" t="s">
        <v>40</v>
      </c>
      <c r="E95">
        <v>2019</v>
      </c>
      <c r="F95" t="s">
        <v>207</v>
      </c>
      <c r="G95" t="s">
        <v>208</v>
      </c>
      <c r="H95">
        <v>4482</v>
      </c>
      <c r="I95" t="s">
        <v>209</v>
      </c>
      <c r="J95" t="s">
        <v>210</v>
      </c>
      <c r="K95" t="s">
        <v>211</v>
      </c>
    </row>
    <row r="96" spans="1:11" x14ac:dyDescent="0.3">
      <c r="A96" t="s">
        <v>41</v>
      </c>
      <c r="B96" t="s">
        <v>20</v>
      </c>
      <c r="C96" t="s">
        <v>21</v>
      </c>
      <c r="D96" t="s">
        <v>42</v>
      </c>
      <c r="E96">
        <v>2019</v>
      </c>
      <c r="F96" t="s">
        <v>207</v>
      </c>
      <c r="G96" t="s">
        <v>208</v>
      </c>
      <c r="H96">
        <v>76283</v>
      </c>
      <c r="I96" t="s">
        <v>209</v>
      </c>
      <c r="J96" t="s">
        <v>210</v>
      </c>
      <c r="K96" t="s">
        <v>211</v>
      </c>
    </row>
    <row r="97" spans="1:11" x14ac:dyDescent="0.3">
      <c r="A97" t="s">
        <v>43</v>
      </c>
      <c r="B97" t="s">
        <v>20</v>
      </c>
      <c r="C97" t="s">
        <v>21</v>
      </c>
      <c r="D97" t="s">
        <v>44</v>
      </c>
      <c r="E97">
        <v>2019</v>
      </c>
      <c r="F97" t="s">
        <v>207</v>
      </c>
      <c r="G97" t="s">
        <v>208</v>
      </c>
      <c r="I97" t="s">
        <v>209</v>
      </c>
      <c r="J97" t="s">
        <v>210</v>
      </c>
      <c r="K97" t="s">
        <v>211</v>
      </c>
    </row>
    <row r="98" spans="1:11" x14ac:dyDescent="0.3">
      <c r="A98" t="s">
        <v>45</v>
      </c>
      <c r="B98" t="s">
        <v>20</v>
      </c>
      <c r="C98" t="s">
        <v>46</v>
      </c>
      <c r="D98" t="s">
        <v>47</v>
      </c>
      <c r="E98">
        <v>2019</v>
      </c>
      <c r="F98" t="s">
        <v>207</v>
      </c>
      <c r="G98" t="s">
        <v>208</v>
      </c>
      <c r="H98">
        <v>6865</v>
      </c>
      <c r="I98" t="s">
        <v>209</v>
      </c>
      <c r="J98" t="s">
        <v>210</v>
      </c>
      <c r="K98" t="s">
        <v>211</v>
      </c>
    </row>
    <row r="99" spans="1:11" x14ac:dyDescent="0.3">
      <c r="A99" t="s">
        <v>48</v>
      </c>
      <c r="B99" t="s">
        <v>20</v>
      </c>
      <c r="C99" t="s">
        <v>46</v>
      </c>
      <c r="D99" t="s">
        <v>49</v>
      </c>
      <c r="E99">
        <v>2019</v>
      </c>
      <c r="F99" t="s">
        <v>207</v>
      </c>
      <c r="G99" t="s">
        <v>208</v>
      </c>
      <c r="H99">
        <v>15979</v>
      </c>
      <c r="I99" t="s">
        <v>209</v>
      </c>
      <c r="J99" t="s">
        <v>210</v>
      </c>
      <c r="K99" t="s">
        <v>211</v>
      </c>
    </row>
    <row r="100" spans="1:11" x14ac:dyDescent="0.3">
      <c r="A100" t="s">
        <v>50</v>
      </c>
      <c r="B100" t="s">
        <v>20</v>
      </c>
      <c r="C100" t="s">
        <v>46</v>
      </c>
      <c r="D100" t="s">
        <v>51</v>
      </c>
      <c r="E100">
        <v>2019</v>
      </c>
      <c r="F100" t="s">
        <v>207</v>
      </c>
      <c r="G100" t="s">
        <v>208</v>
      </c>
      <c r="H100">
        <v>9831</v>
      </c>
      <c r="I100" t="s">
        <v>209</v>
      </c>
      <c r="J100" t="s">
        <v>210</v>
      </c>
      <c r="K100" t="s">
        <v>211</v>
      </c>
    </row>
    <row r="101" spans="1:11" x14ac:dyDescent="0.3">
      <c r="A101" t="s">
        <v>52</v>
      </c>
      <c r="B101" t="s">
        <v>20</v>
      </c>
      <c r="C101" t="s">
        <v>46</v>
      </c>
      <c r="D101" t="s">
        <v>53</v>
      </c>
      <c r="E101">
        <v>2019</v>
      </c>
      <c r="F101" t="s">
        <v>207</v>
      </c>
      <c r="G101" t="s">
        <v>208</v>
      </c>
      <c r="H101">
        <v>2685</v>
      </c>
      <c r="I101" t="s">
        <v>209</v>
      </c>
      <c r="J101" t="s">
        <v>210</v>
      </c>
      <c r="K101" t="s">
        <v>211</v>
      </c>
    </row>
    <row r="102" spans="1:11" x14ac:dyDescent="0.3">
      <c r="A102" t="s">
        <v>54</v>
      </c>
      <c r="B102" t="s">
        <v>20</v>
      </c>
      <c r="C102" t="s">
        <v>46</v>
      </c>
      <c r="D102" t="s">
        <v>55</v>
      </c>
      <c r="E102">
        <v>2019</v>
      </c>
      <c r="F102" t="s">
        <v>207</v>
      </c>
      <c r="G102" t="s">
        <v>208</v>
      </c>
      <c r="H102">
        <v>28396</v>
      </c>
      <c r="I102" t="s">
        <v>209</v>
      </c>
      <c r="J102" t="s">
        <v>210</v>
      </c>
      <c r="K102" t="s">
        <v>211</v>
      </c>
    </row>
    <row r="103" spans="1:11" x14ac:dyDescent="0.3">
      <c r="A103" t="s">
        <v>56</v>
      </c>
      <c r="B103" t="s">
        <v>20</v>
      </c>
      <c r="C103" t="s">
        <v>46</v>
      </c>
      <c r="D103" t="s">
        <v>57</v>
      </c>
      <c r="E103">
        <v>2019</v>
      </c>
      <c r="F103" t="s">
        <v>207</v>
      </c>
      <c r="G103" t="s">
        <v>208</v>
      </c>
      <c r="H103">
        <v>9322</v>
      </c>
      <c r="I103" t="s">
        <v>209</v>
      </c>
      <c r="J103" t="s">
        <v>210</v>
      </c>
      <c r="K103" t="s">
        <v>211</v>
      </c>
    </row>
    <row r="104" spans="1:11" x14ac:dyDescent="0.3">
      <c r="A104" t="s">
        <v>58</v>
      </c>
      <c r="B104" t="s">
        <v>20</v>
      </c>
      <c r="C104" t="s">
        <v>46</v>
      </c>
      <c r="D104" t="s">
        <v>59</v>
      </c>
      <c r="E104">
        <v>2019</v>
      </c>
      <c r="F104" t="s">
        <v>207</v>
      </c>
      <c r="G104" t="s">
        <v>208</v>
      </c>
      <c r="H104">
        <v>19950</v>
      </c>
      <c r="I104" t="s">
        <v>209</v>
      </c>
      <c r="J104" t="s">
        <v>210</v>
      </c>
      <c r="K104" t="s">
        <v>211</v>
      </c>
    </row>
    <row r="105" spans="1:11" x14ac:dyDescent="0.3">
      <c r="A105" t="s">
        <v>60</v>
      </c>
      <c r="B105" t="s">
        <v>20</v>
      </c>
      <c r="C105" t="s">
        <v>46</v>
      </c>
      <c r="D105" t="s">
        <v>61</v>
      </c>
      <c r="E105">
        <v>2019</v>
      </c>
      <c r="F105" t="s">
        <v>207</v>
      </c>
      <c r="G105" t="s">
        <v>208</v>
      </c>
      <c r="H105">
        <v>29803</v>
      </c>
      <c r="I105" t="s">
        <v>209</v>
      </c>
      <c r="J105" t="s">
        <v>210</v>
      </c>
      <c r="K105" t="s">
        <v>211</v>
      </c>
    </row>
    <row r="106" spans="1:11" x14ac:dyDescent="0.3">
      <c r="A106" t="s">
        <v>62</v>
      </c>
      <c r="B106" t="s">
        <v>20</v>
      </c>
      <c r="C106" t="s">
        <v>63</v>
      </c>
      <c r="D106" t="s">
        <v>64</v>
      </c>
      <c r="E106">
        <v>2019</v>
      </c>
      <c r="F106" t="s">
        <v>207</v>
      </c>
      <c r="G106" t="s">
        <v>208</v>
      </c>
      <c r="H106">
        <v>5006</v>
      </c>
      <c r="I106" t="s">
        <v>209</v>
      </c>
      <c r="J106" t="s">
        <v>210</v>
      </c>
      <c r="K106" t="s">
        <v>211</v>
      </c>
    </row>
    <row r="107" spans="1:11" x14ac:dyDescent="0.3">
      <c r="A107" t="s">
        <v>65</v>
      </c>
      <c r="B107" t="s">
        <v>20</v>
      </c>
      <c r="C107" t="s">
        <v>63</v>
      </c>
      <c r="D107" t="s">
        <v>66</v>
      </c>
      <c r="E107">
        <v>2019</v>
      </c>
      <c r="F107" t="s">
        <v>207</v>
      </c>
      <c r="G107" t="s">
        <v>208</v>
      </c>
      <c r="H107">
        <v>3187</v>
      </c>
      <c r="I107" t="s">
        <v>209</v>
      </c>
      <c r="J107" t="s">
        <v>210</v>
      </c>
      <c r="K107" t="s">
        <v>211</v>
      </c>
    </row>
    <row r="108" spans="1:11" x14ac:dyDescent="0.3">
      <c r="A108" t="s">
        <v>67</v>
      </c>
      <c r="B108" t="s">
        <v>20</v>
      </c>
      <c r="C108" t="s">
        <v>63</v>
      </c>
      <c r="D108" t="s">
        <v>68</v>
      </c>
      <c r="E108">
        <v>2019</v>
      </c>
      <c r="F108" t="s">
        <v>207</v>
      </c>
      <c r="G108" t="s">
        <v>208</v>
      </c>
      <c r="H108">
        <v>2148</v>
      </c>
      <c r="I108" t="s">
        <v>209</v>
      </c>
      <c r="J108" t="s">
        <v>210</v>
      </c>
      <c r="K108" t="s">
        <v>211</v>
      </c>
    </row>
    <row r="109" spans="1:11" x14ac:dyDescent="0.3">
      <c r="A109" t="s">
        <v>69</v>
      </c>
      <c r="B109" t="s">
        <v>20</v>
      </c>
      <c r="C109" t="s">
        <v>63</v>
      </c>
      <c r="D109" t="s">
        <v>70</v>
      </c>
      <c r="E109">
        <v>2019</v>
      </c>
      <c r="F109" t="s">
        <v>207</v>
      </c>
      <c r="G109" t="s">
        <v>208</v>
      </c>
      <c r="H109">
        <v>2347</v>
      </c>
      <c r="I109" t="s">
        <v>209</v>
      </c>
      <c r="J109" t="s">
        <v>210</v>
      </c>
      <c r="K109" t="s">
        <v>211</v>
      </c>
    </row>
    <row r="110" spans="1:11" x14ac:dyDescent="0.3">
      <c r="A110" t="s">
        <v>71</v>
      </c>
      <c r="B110" t="s">
        <v>20</v>
      </c>
      <c r="C110" t="s">
        <v>63</v>
      </c>
      <c r="D110" t="s">
        <v>72</v>
      </c>
      <c r="E110">
        <v>2019</v>
      </c>
      <c r="F110" t="s">
        <v>207</v>
      </c>
      <c r="G110" t="s">
        <v>208</v>
      </c>
      <c r="H110">
        <v>2432</v>
      </c>
      <c r="I110" t="s">
        <v>209</v>
      </c>
      <c r="J110" t="s">
        <v>210</v>
      </c>
      <c r="K110" t="s">
        <v>211</v>
      </c>
    </row>
    <row r="111" spans="1:11" x14ac:dyDescent="0.3">
      <c r="A111" t="s">
        <v>73</v>
      </c>
      <c r="B111" t="s">
        <v>20</v>
      </c>
      <c r="C111" t="s">
        <v>63</v>
      </c>
      <c r="D111" t="s">
        <v>74</v>
      </c>
      <c r="E111">
        <v>2019</v>
      </c>
      <c r="F111" t="s">
        <v>207</v>
      </c>
      <c r="G111" t="s">
        <v>208</v>
      </c>
      <c r="H111">
        <v>906</v>
      </c>
      <c r="I111" t="s">
        <v>209</v>
      </c>
      <c r="J111" t="s">
        <v>210</v>
      </c>
      <c r="K111" t="s">
        <v>211</v>
      </c>
    </row>
    <row r="112" spans="1:11" x14ac:dyDescent="0.3">
      <c r="A112" t="s">
        <v>75</v>
      </c>
      <c r="B112" t="s">
        <v>20</v>
      </c>
      <c r="C112" t="s">
        <v>76</v>
      </c>
      <c r="D112" t="s">
        <v>77</v>
      </c>
      <c r="E112">
        <v>2019</v>
      </c>
      <c r="F112" t="s">
        <v>207</v>
      </c>
      <c r="G112" t="s">
        <v>208</v>
      </c>
      <c r="H112">
        <v>48644</v>
      </c>
      <c r="I112" t="s">
        <v>209</v>
      </c>
      <c r="J112" t="s">
        <v>210</v>
      </c>
      <c r="K112" t="s">
        <v>211</v>
      </c>
    </row>
    <row r="113" spans="1:11" x14ac:dyDescent="0.3">
      <c r="A113" t="s">
        <v>78</v>
      </c>
      <c r="B113" t="s">
        <v>20</v>
      </c>
      <c r="C113" t="s">
        <v>76</v>
      </c>
      <c r="D113" t="s">
        <v>79</v>
      </c>
      <c r="E113">
        <v>2019</v>
      </c>
      <c r="F113" t="s">
        <v>207</v>
      </c>
      <c r="G113" t="s">
        <v>208</v>
      </c>
      <c r="H113">
        <v>24114</v>
      </c>
      <c r="I113" t="s">
        <v>209</v>
      </c>
      <c r="J113" t="s">
        <v>210</v>
      </c>
      <c r="K113" t="s">
        <v>211</v>
      </c>
    </row>
    <row r="114" spans="1:11" x14ac:dyDescent="0.3">
      <c r="A114" t="s">
        <v>80</v>
      </c>
      <c r="B114" t="s">
        <v>20</v>
      </c>
      <c r="C114" t="s">
        <v>76</v>
      </c>
      <c r="D114" t="s">
        <v>81</v>
      </c>
      <c r="E114">
        <v>2019</v>
      </c>
      <c r="F114" t="s">
        <v>207</v>
      </c>
      <c r="G114" t="s">
        <v>208</v>
      </c>
      <c r="H114">
        <v>12732</v>
      </c>
      <c r="I114" t="s">
        <v>209</v>
      </c>
      <c r="J114" t="s">
        <v>210</v>
      </c>
      <c r="K114" t="s">
        <v>211</v>
      </c>
    </row>
    <row r="115" spans="1:11" x14ac:dyDescent="0.3">
      <c r="A115" t="s">
        <v>82</v>
      </c>
      <c r="B115" t="s">
        <v>20</v>
      </c>
      <c r="C115" t="s">
        <v>83</v>
      </c>
      <c r="D115" t="s">
        <v>84</v>
      </c>
      <c r="E115">
        <v>2019</v>
      </c>
      <c r="F115" t="s">
        <v>207</v>
      </c>
      <c r="G115" t="s">
        <v>208</v>
      </c>
      <c r="H115">
        <v>12776</v>
      </c>
      <c r="I115" t="s">
        <v>209</v>
      </c>
      <c r="J115" t="s">
        <v>210</v>
      </c>
      <c r="K115" t="s">
        <v>211</v>
      </c>
    </row>
    <row r="116" spans="1:11" x14ac:dyDescent="0.3">
      <c r="A116" t="s">
        <v>85</v>
      </c>
      <c r="B116" t="s">
        <v>20</v>
      </c>
      <c r="C116" t="s">
        <v>83</v>
      </c>
      <c r="D116" t="s">
        <v>86</v>
      </c>
      <c r="E116">
        <v>2019</v>
      </c>
      <c r="F116" t="s">
        <v>207</v>
      </c>
      <c r="G116" t="s">
        <v>208</v>
      </c>
      <c r="H116">
        <v>5167</v>
      </c>
      <c r="I116" t="s">
        <v>209</v>
      </c>
      <c r="J116" t="s">
        <v>210</v>
      </c>
      <c r="K116" t="s">
        <v>211</v>
      </c>
    </row>
    <row r="117" spans="1:11" x14ac:dyDescent="0.3">
      <c r="A117" t="s">
        <v>87</v>
      </c>
      <c r="B117" t="s">
        <v>20</v>
      </c>
      <c r="C117" t="s">
        <v>83</v>
      </c>
      <c r="D117" t="s">
        <v>88</v>
      </c>
      <c r="E117">
        <v>2019</v>
      </c>
      <c r="F117" t="s">
        <v>207</v>
      </c>
      <c r="G117" t="s">
        <v>208</v>
      </c>
      <c r="H117">
        <v>6930</v>
      </c>
      <c r="I117" t="s">
        <v>209</v>
      </c>
      <c r="J117" t="s">
        <v>210</v>
      </c>
      <c r="K117" t="s">
        <v>211</v>
      </c>
    </row>
    <row r="118" spans="1:11" x14ac:dyDescent="0.3">
      <c r="A118" t="s">
        <v>89</v>
      </c>
      <c r="B118" t="s">
        <v>20</v>
      </c>
      <c r="C118" t="s">
        <v>83</v>
      </c>
      <c r="D118" t="s">
        <v>90</v>
      </c>
      <c r="E118">
        <v>2019</v>
      </c>
      <c r="F118" t="s">
        <v>207</v>
      </c>
      <c r="G118" t="s">
        <v>208</v>
      </c>
      <c r="H118">
        <v>6252</v>
      </c>
      <c r="I118" t="s">
        <v>209</v>
      </c>
      <c r="J118" t="s">
        <v>210</v>
      </c>
      <c r="K118" t="s">
        <v>211</v>
      </c>
    </row>
    <row r="119" spans="1:11" x14ac:dyDescent="0.3">
      <c r="A119" t="s">
        <v>91</v>
      </c>
      <c r="B119" t="s">
        <v>20</v>
      </c>
      <c r="C119" t="s">
        <v>92</v>
      </c>
      <c r="D119" t="s">
        <v>93</v>
      </c>
      <c r="E119">
        <v>2019</v>
      </c>
      <c r="F119" t="s">
        <v>207</v>
      </c>
      <c r="G119" t="s">
        <v>208</v>
      </c>
      <c r="H119">
        <v>26702</v>
      </c>
      <c r="I119" t="s">
        <v>209</v>
      </c>
      <c r="J119" t="s">
        <v>210</v>
      </c>
      <c r="K119" t="s">
        <v>211</v>
      </c>
    </row>
    <row r="120" spans="1:11" x14ac:dyDescent="0.3">
      <c r="A120" t="s">
        <v>94</v>
      </c>
      <c r="B120" t="s">
        <v>20</v>
      </c>
      <c r="C120" t="s">
        <v>92</v>
      </c>
      <c r="D120" t="s">
        <v>95</v>
      </c>
      <c r="E120">
        <v>2019</v>
      </c>
      <c r="F120" t="s">
        <v>207</v>
      </c>
      <c r="G120" t="s">
        <v>208</v>
      </c>
      <c r="H120">
        <v>10354</v>
      </c>
      <c r="I120" t="s">
        <v>209</v>
      </c>
      <c r="J120" t="s">
        <v>210</v>
      </c>
      <c r="K120" t="s">
        <v>211</v>
      </c>
    </row>
    <row r="121" spans="1:11" x14ac:dyDescent="0.3">
      <c r="A121" t="s">
        <v>96</v>
      </c>
      <c r="B121" t="s">
        <v>20</v>
      </c>
      <c r="C121" t="s">
        <v>92</v>
      </c>
      <c r="D121" t="s">
        <v>97</v>
      </c>
      <c r="E121">
        <v>2019</v>
      </c>
      <c r="F121" t="s">
        <v>207</v>
      </c>
      <c r="G121" t="s">
        <v>208</v>
      </c>
      <c r="H121">
        <v>2612</v>
      </c>
      <c r="I121" t="s">
        <v>209</v>
      </c>
      <c r="J121" t="s">
        <v>210</v>
      </c>
      <c r="K121" t="s">
        <v>211</v>
      </c>
    </row>
    <row r="122" spans="1:11" x14ac:dyDescent="0.3">
      <c r="A122" t="s">
        <v>98</v>
      </c>
      <c r="B122" t="s">
        <v>20</v>
      </c>
      <c r="C122" t="s">
        <v>92</v>
      </c>
      <c r="D122" t="s">
        <v>99</v>
      </c>
      <c r="E122">
        <v>2019</v>
      </c>
      <c r="F122" t="s">
        <v>207</v>
      </c>
      <c r="G122" t="s">
        <v>208</v>
      </c>
      <c r="H122">
        <v>4190</v>
      </c>
      <c r="I122" t="s">
        <v>209</v>
      </c>
      <c r="J122" t="s">
        <v>210</v>
      </c>
      <c r="K122" t="s">
        <v>211</v>
      </c>
    </row>
    <row r="123" spans="1:11" x14ac:dyDescent="0.3">
      <c r="A123" t="s">
        <v>100</v>
      </c>
      <c r="B123" t="s">
        <v>20</v>
      </c>
      <c r="C123" t="s">
        <v>92</v>
      </c>
      <c r="D123" t="s">
        <v>101</v>
      </c>
      <c r="E123">
        <v>2019</v>
      </c>
      <c r="F123" t="s">
        <v>207</v>
      </c>
      <c r="G123" t="s">
        <v>208</v>
      </c>
      <c r="H123">
        <v>666</v>
      </c>
      <c r="I123" t="s">
        <v>209</v>
      </c>
      <c r="J123" t="s">
        <v>210</v>
      </c>
      <c r="K123" t="s">
        <v>211</v>
      </c>
    </row>
    <row r="124" spans="1:11" x14ac:dyDescent="0.3">
      <c r="A124" t="s">
        <v>102</v>
      </c>
      <c r="B124" t="s">
        <v>20</v>
      </c>
      <c r="C124" t="s">
        <v>92</v>
      </c>
      <c r="D124" t="s">
        <v>103</v>
      </c>
      <c r="E124">
        <v>2019</v>
      </c>
      <c r="F124" t="s">
        <v>207</v>
      </c>
      <c r="G124" t="s">
        <v>208</v>
      </c>
      <c r="H124">
        <v>2894</v>
      </c>
      <c r="I124" t="s">
        <v>209</v>
      </c>
      <c r="J124" t="s">
        <v>210</v>
      </c>
      <c r="K124" t="s">
        <v>211</v>
      </c>
    </row>
    <row r="125" spans="1:11" x14ac:dyDescent="0.3">
      <c r="A125" t="s">
        <v>104</v>
      </c>
      <c r="B125" t="s">
        <v>20</v>
      </c>
      <c r="C125" t="s">
        <v>92</v>
      </c>
      <c r="D125" t="s">
        <v>105</v>
      </c>
      <c r="E125">
        <v>2019</v>
      </c>
      <c r="F125" t="s">
        <v>207</v>
      </c>
      <c r="G125" t="s">
        <v>208</v>
      </c>
      <c r="H125">
        <v>551</v>
      </c>
      <c r="I125" t="s">
        <v>209</v>
      </c>
      <c r="J125" t="s">
        <v>210</v>
      </c>
      <c r="K125" t="s">
        <v>211</v>
      </c>
    </row>
    <row r="126" spans="1:11" x14ac:dyDescent="0.3">
      <c r="A126" t="s">
        <v>106</v>
      </c>
      <c r="B126" t="s">
        <v>20</v>
      </c>
      <c r="C126" t="s">
        <v>92</v>
      </c>
      <c r="D126" t="s">
        <v>107</v>
      </c>
      <c r="E126">
        <v>2019</v>
      </c>
      <c r="F126" t="s">
        <v>207</v>
      </c>
      <c r="G126" t="s">
        <v>208</v>
      </c>
      <c r="H126">
        <v>6534</v>
      </c>
      <c r="I126" t="s">
        <v>209</v>
      </c>
      <c r="J126" t="s">
        <v>210</v>
      </c>
      <c r="K126" t="s">
        <v>211</v>
      </c>
    </row>
    <row r="127" spans="1:11" x14ac:dyDescent="0.3">
      <c r="A127" t="s">
        <v>108</v>
      </c>
      <c r="B127" t="s">
        <v>20</v>
      </c>
      <c r="C127" t="s">
        <v>92</v>
      </c>
      <c r="D127" t="s">
        <v>109</v>
      </c>
      <c r="E127">
        <v>2019</v>
      </c>
      <c r="F127" t="s">
        <v>207</v>
      </c>
      <c r="G127" t="s">
        <v>208</v>
      </c>
      <c r="H127">
        <v>7597</v>
      </c>
      <c r="I127" t="s">
        <v>209</v>
      </c>
      <c r="J127" t="s">
        <v>210</v>
      </c>
      <c r="K127" t="s">
        <v>211</v>
      </c>
    </row>
    <row r="128" spans="1:11" x14ac:dyDescent="0.3">
      <c r="A128" t="s">
        <v>110</v>
      </c>
      <c r="B128" t="s">
        <v>20</v>
      </c>
      <c r="C128" t="s">
        <v>92</v>
      </c>
      <c r="D128" t="s">
        <v>111</v>
      </c>
      <c r="E128">
        <v>2019</v>
      </c>
      <c r="F128" t="s">
        <v>207</v>
      </c>
      <c r="G128" t="s">
        <v>208</v>
      </c>
      <c r="H128">
        <v>23245</v>
      </c>
      <c r="I128" t="s">
        <v>209</v>
      </c>
      <c r="J128" t="s">
        <v>210</v>
      </c>
      <c r="K128" t="s">
        <v>211</v>
      </c>
    </row>
    <row r="129" spans="1:11" x14ac:dyDescent="0.3">
      <c r="A129" t="s">
        <v>112</v>
      </c>
      <c r="B129" t="s">
        <v>20</v>
      </c>
      <c r="C129" t="s">
        <v>113</v>
      </c>
      <c r="D129" t="s">
        <v>114</v>
      </c>
      <c r="E129">
        <v>2019</v>
      </c>
      <c r="F129" t="s">
        <v>207</v>
      </c>
      <c r="G129" t="s">
        <v>208</v>
      </c>
      <c r="H129">
        <v>19081</v>
      </c>
      <c r="I129" t="s">
        <v>209</v>
      </c>
      <c r="J129" t="s">
        <v>210</v>
      </c>
      <c r="K129" t="s">
        <v>211</v>
      </c>
    </row>
    <row r="130" spans="1:11" x14ac:dyDescent="0.3">
      <c r="A130" t="s">
        <v>115</v>
      </c>
      <c r="B130" t="s">
        <v>20</v>
      </c>
      <c r="C130" t="s">
        <v>113</v>
      </c>
      <c r="D130" t="s">
        <v>116</v>
      </c>
      <c r="E130">
        <v>2019</v>
      </c>
      <c r="F130" t="s">
        <v>207</v>
      </c>
      <c r="G130" t="s">
        <v>208</v>
      </c>
      <c r="H130">
        <v>43508</v>
      </c>
      <c r="I130" t="s">
        <v>209</v>
      </c>
      <c r="J130" t="s">
        <v>210</v>
      </c>
      <c r="K130" t="s">
        <v>211</v>
      </c>
    </row>
    <row r="131" spans="1:11" x14ac:dyDescent="0.3">
      <c r="A131" t="s">
        <v>117</v>
      </c>
      <c r="B131" t="s">
        <v>20</v>
      </c>
      <c r="C131" t="s">
        <v>113</v>
      </c>
      <c r="D131" t="s">
        <v>118</v>
      </c>
      <c r="E131">
        <v>2019</v>
      </c>
      <c r="F131" t="s">
        <v>207</v>
      </c>
      <c r="G131" t="s">
        <v>208</v>
      </c>
      <c r="H131">
        <v>4498</v>
      </c>
      <c r="I131" t="s">
        <v>209</v>
      </c>
      <c r="J131" t="s">
        <v>210</v>
      </c>
      <c r="K131" t="s">
        <v>211</v>
      </c>
    </row>
    <row r="132" spans="1:11" x14ac:dyDescent="0.3">
      <c r="A132" t="s">
        <v>119</v>
      </c>
      <c r="B132" t="s">
        <v>20</v>
      </c>
      <c r="C132" t="s">
        <v>113</v>
      </c>
      <c r="D132" t="s">
        <v>120</v>
      </c>
      <c r="E132">
        <v>2019</v>
      </c>
      <c r="F132" t="s">
        <v>207</v>
      </c>
      <c r="G132" t="s">
        <v>208</v>
      </c>
      <c r="H132">
        <v>31619</v>
      </c>
      <c r="I132" t="s">
        <v>209</v>
      </c>
      <c r="J132" t="s">
        <v>210</v>
      </c>
      <c r="K132" t="s">
        <v>211</v>
      </c>
    </row>
    <row r="133" spans="1:11" x14ac:dyDescent="0.3">
      <c r="A133" t="s">
        <v>121</v>
      </c>
      <c r="B133" t="s">
        <v>20</v>
      </c>
      <c r="C133" t="s">
        <v>113</v>
      </c>
      <c r="D133" t="s">
        <v>122</v>
      </c>
      <c r="E133">
        <v>2019</v>
      </c>
      <c r="F133" t="s">
        <v>207</v>
      </c>
      <c r="G133" t="s">
        <v>208</v>
      </c>
      <c r="H133">
        <v>12604</v>
      </c>
      <c r="I133" t="s">
        <v>209</v>
      </c>
      <c r="J133" t="s">
        <v>210</v>
      </c>
      <c r="K133" t="s">
        <v>211</v>
      </c>
    </row>
    <row r="134" spans="1:11" x14ac:dyDescent="0.3">
      <c r="A134" t="s">
        <v>123</v>
      </c>
      <c r="B134" t="s">
        <v>20</v>
      </c>
      <c r="C134" t="s">
        <v>124</v>
      </c>
      <c r="D134" t="s">
        <v>125</v>
      </c>
      <c r="E134">
        <v>2019</v>
      </c>
      <c r="F134" t="s">
        <v>207</v>
      </c>
      <c r="G134" t="s">
        <v>208</v>
      </c>
      <c r="H134">
        <v>13871</v>
      </c>
      <c r="I134" t="s">
        <v>209</v>
      </c>
      <c r="J134" t="s">
        <v>210</v>
      </c>
      <c r="K134" t="s">
        <v>211</v>
      </c>
    </row>
    <row r="135" spans="1:11" x14ac:dyDescent="0.3">
      <c r="A135" t="s">
        <v>126</v>
      </c>
      <c r="B135" t="s">
        <v>20</v>
      </c>
      <c r="C135" t="s">
        <v>124</v>
      </c>
      <c r="D135" t="s">
        <v>127</v>
      </c>
      <c r="E135">
        <v>2019</v>
      </c>
      <c r="F135" t="s">
        <v>207</v>
      </c>
      <c r="G135" t="s">
        <v>208</v>
      </c>
      <c r="H135">
        <v>4201</v>
      </c>
      <c r="I135" t="s">
        <v>209</v>
      </c>
      <c r="J135" t="s">
        <v>210</v>
      </c>
      <c r="K135" t="s">
        <v>211</v>
      </c>
    </row>
    <row r="136" spans="1:11" x14ac:dyDescent="0.3">
      <c r="A136" t="s">
        <v>128</v>
      </c>
      <c r="B136" t="s">
        <v>20</v>
      </c>
      <c r="C136" t="s">
        <v>124</v>
      </c>
      <c r="D136" t="s">
        <v>129</v>
      </c>
      <c r="E136">
        <v>2019</v>
      </c>
      <c r="F136" t="s">
        <v>207</v>
      </c>
      <c r="G136" t="s">
        <v>208</v>
      </c>
      <c r="H136">
        <v>12978</v>
      </c>
      <c r="I136" t="s">
        <v>209</v>
      </c>
      <c r="J136" t="s">
        <v>210</v>
      </c>
      <c r="K136" t="s">
        <v>211</v>
      </c>
    </row>
    <row r="137" spans="1:11" x14ac:dyDescent="0.3">
      <c r="A137" t="s">
        <v>130</v>
      </c>
      <c r="B137" t="s">
        <v>20</v>
      </c>
      <c r="C137" t="s">
        <v>124</v>
      </c>
      <c r="D137" t="s">
        <v>131</v>
      </c>
      <c r="E137">
        <v>2019</v>
      </c>
      <c r="F137" t="s">
        <v>207</v>
      </c>
      <c r="G137" t="s">
        <v>208</v>
      </c>
      <c r="H137">
        <v>6166</v>
      </c>
      <c r="I137" t="s">
        <v>209</v>
      </c>
      <c r="J137" t="s">
        <v>210</v>
      </c>
      <c r="K137" t="s">
        <v>211</v>
      </c>
    </row>
    <row r="138" spans="1:11" x14ac:dyDescent="0.3">
      <c r="A138" t="s">
        <v>132</v>
      </c>
      <c r="B138" t="s">
        <v>20</v>
      </c>
      <c r="C138" t="s">
        <v>124</v>
      </c>
      <c r="D138" t="s">
        <v>133</v>
      </c>
      <c r="E138">
        <v>2019</v>
      </c>
      <c r="F138" t="s">
        <v>207</v>
      </c>
      <c r="G138" t="s">
        <v>208</v>
      </c>
      <c r="H138">
        <v>1164</v>
      </c>
      <c r="I138" t="s">
        <v>209</v>
      </c>
      <c r="J138" t="s">
        <v>210</v>
      </c>
      <c r="K138" t="s">
        <v>211</v>
      </c>
    </row>
    <row r="139" spans="1:11" x14ac:dyDescent="0.3">
      <c r="A139" t="s">
        <v>134</v>
      </c>
      <c r="B139" t="s">
        <v>20</v>
      </c>
      <c r="C139" t="s">
        <v>124</v>
      </c>
      <c r="D139" t="s">
        <v>135</v>
      </c>
      <c r="E139">
        <v>2019</v>
      </c>
      <c r="F139" t="s">
        <v>207</v>
      </c>
      <c r="G139" t="s">
        <v>208</v>
      </c>
      <c r="H139">
        <v>3795</v>
      </c>
      <c r="I139" t="s">
        <v>209</v>
      </c>
      <c r="J139" t="s">
        <v>210</v>
      </c>
      <c r="K139" t="s">
        <v>211</v>
      </c>
    </row>
    <row r="140" spans="1:11" x14ac:dyDescent="0.3">
      <c r="A140" t="s">
        <v>136</v>
      </c>
      <c r="B140" t="s">
        <v>20</v>
      </c>
      <c r="C140" t="s">
        <v>124</v>
      </c>
      <c r="D140" t="s">
        <v>137</v>
      </c>
      <c r="E140">
        <v>2019</v>
      </c>
      <c r="F140" t="s">
        <v>207</v>
      </c>
      <c r="G140" t="s">
        <v>208</v>
      </c>
      <c r="H140">
        <v>1385</v>
      </c>
      <c r="I140" t="s">
        <v>209</v>
      </c>
      <c r="J140" t="s">
        <v>210</v>
      </c>
      <c r="K140" t="s">
        <v>211</v>
      </c>
    </row>
    <row r="141" spans="1:11" x14ac:dyDescent="0.3">
      <c r="A141" t="s">
        <v>138</v>
      </c>
      <c r="B141" t="s">
        <v>20</v>
      </c>
      <c r="C141" t="s">
        <v>124</v>
      </c>
      <c r="D141" t="s">
        <v>139</v>
      </c>
      <c r="E141">
        <v>2019</v>
      </c>
      <c r="F141" t="s">
        <v>207</v>
      </c>
      <c r="G141" t="s">
        <v>208</v>
      </c>
      <c r="H141">
        <v>20753</v>
      </c>
      <c r="I141" t="s">
        <v>209</v>
      </c>
      <c r="J141" t="s">
        <v>210</v>
      </c>
      <c r="K141" t="s">
        <v>211</v>
      </c>
    </row>
    <row r="142" spans="1:11" x14ac:dyDescent="0.3">
      <c r="A142" t="s">
        <v>140</v>
      </c>
      <c r="B142" t="s">
        <v>20</v>
      </c>
      <c r="C142" t="s">
        <v>124</v>
      </c>
      <c r="D142" t="s">
        <v>141</v>
      </c>
      <c r="E142">
        <v>2019</v>
      </c>
      <c r="F142" t="s">
        <v>207</v>
      </c>
      <c r="G142" t="s">
        <v>208</v>
      </c>
      <c r="H142">
        <v>10482</v>
      </c>
      <c r="I142" t="s">
        <v>209</v>
      </c>
      <c r="J142" t="s">
        <v>210</v>
      </c>
      <c r="K142" t="s">
        <v>211</v>
      </c>
    </row>
    <row r="143" spans="1:11" x14ac:dyDescent="0.3">
      <c r="A143" t="s">
        <v>142</v>
      </c>
      <c r="B143" t="s">
        <v>20</v>
      </c>
      <c r="C143" t="s">
        <v>124</v>
      </c>
      <c r="D143" t="s">
        <v>143</v>
      </c>
      <c r="E143">
        <v>2019</v>
      </c>
      <c r="F143" t="s">
        <v>207</v>
      </c>
      <c r="G143" t="s">
        <v>208</v>
      </c>
      <c r="H143">
        <v>1872</v>
      </c>
      <c r="I143" t="s">
        <v>209</v>
      </c>
      <c r="J143" t="s">
        <v>210</v>
      </c>
      <c r="K143" t="s">
        <v>211</v>
      </c>
    </row>
    <row r="144" spans="1:11" x14ac:dyDescent="0.3">
      <c r="A144" t="s">
        <v>144</v>
      </c>
      <c r="B144" t="s">
        <v>20</v>
      </c>
      <c r="C144" t="s">
        <v>124</v>
      </c>
      <c r="D144" t="s">
        <v>145</v>
      </c>
      <c r="E144">
        <v>2019</v>
      </c>
      <c r="F144" t="s">
        <v>207</v>
      </c>
      <c r="G144" t="s">
        <v>208</v>
      </c>
      <c r="H144">
        <v>2330</v>
      </c>
      <c r="I144" t="s">
        <v>209</v>
      </c>
      <c r="J144" t="s">
        <v>210</v>
      </c>
      <c r="K144" t="s">
        <v>211</v>
      </c>
    </row>
    <row r="145" spans="1:11" x14ac:dyDescent="0.3">
      <c r="A145" t="s">
        <v>146</v>
      </c>
      <c r="B145" t="s">
        <v>20</v>
      </c>
      <c r="C145" t="s">
        <v>124</v>
      </c>
      <c r="D145" t="s">
        <v>147</v>
      </c>
      <c r="E145">
        <v>2019</v>
      </c>
      <c r="F145" t="s">
        <v>207</v>
      </c>
      <c r="G145" t="s">
        <v>208</v>
      </c>
      <c r="H145">
        <v>3033</v>
      </c>
      <c r="I145" t="s">
        <v>209</v>
      </c>
      <c r="J145" t="s">
        <v>210</v>
      </c>
      <c r="K145" t="s">
        <v>211</v>
      </c>
    </row>
    <row r="146" spans="1:11" x14ac:dyDescent="0.3">
      <c r="A146" t="s">
        <v>148</v>
      </c>
      <c r="B146" t="s">
        <v>20</v>
      </c>
      <c r="C146" t="s">
        <v>124</v>
      </c>
      <c r="D146" t="s">
        <v>149</v>
      </c>
      <c r="E146">
        <v>2019</v>
      </c>
      <c r="F146" t="s">
        <v>207</v>
      </c>
      <c r="G146" t="s">
        <v>208</v>
      </c>
      <c r="H146">
        <v>2466</v>
      </c>
      <c r="I146" t="s">
        <v>209</v>
      </c>
      <c r="J146" t="s">
        <v>210</v>
      </c>
      <c r="K146" t="s">
        <v>211</v>
      </c>
    </row>
    <row r="147" spans="1:11" x14ac:dyDescent="0.3">
      <c r="A147" t="s">
        <v>150</v>
      </c>
      <c r="B147" t="s">
        <v>20</v>
      </c>
      <c r="C147" t="s">
        <v>151</v>
      </c>
      <c r="D147" t="s">
        <v>152</v>
      </c>
      <c r="E147">
        <v>2019</v>
      </c>
      <c r="F147" t="s">
        <v>207</v>
      </c>
      <c r="G147" t="s">
        <v>208</v>
      </c>
      <c r="H147">
        <v>77443</v>
      </c>
      <c r="I147" t="s">
        <v>209</v>
      </c>
      <c r="J147" t="s">
        <v>210</v>
      </c>
      <c r="K147" t="s">
        <v>211</v>
      </c>
    </row>
    <row r="148" spans="1:11" x14ac:dyDescent="0.3">
      <c r="A148" t="s">
        <v>153</v>
      </c>
      <c r="B148" t="s">
        <v>20</v>
      </c>
      <c r="C148" t="s">
        <v>151</v>
      </c>
      <c r="D148" t="s">
        <v>154</v>
      </c>
      <c r="E148">
        <v>2019</v>
      </c>
      <c r="F148" t="s">
        <v>207</v>
      </c>
      <c r="G148" t="s">
        <v>208</v>
      </c>
      <c r="H148">
        <v>19177</v>
      </c>
      <c r="I148" t="s">
        <v>209</v>
      </c>
      <c r="J148" t="s">
        <v>210</v>
      </c>
      <c r="K148" t="s">
        <v>211</v>
      </c>
    </row>
    <row r="149" spans="1:11" x14ac:dyDescent="0.3">
      <c r="A149" t="s">
        <v>155</v>
      </c>
      <c r="B149" t="s">
        <v>20</v>
      </c>
      <c r="C149" t="s">
        <v>151</v>
      </c>
      <c r="D149" t="s">
        <v>156</v>
      </c>
      <c r="E149">
        <v>2019</v>
      </c>
      <c r="F149" t="s">
        <v>207</v>
      </c>
      <c r="G149" t="s">
        <v>208</v>
      </c>
      <c r="H149">
        <v>9948</v>
      </c>
      <c r="I149" t="s">
        <v>209</v>
      </c>
      <c r="J149" t="s">
        <v>210</v>
      </c>
      <c r="K149" t="s">
        <v>211</v>
      </c>
    </row>
    <row r="150" spans="1:11" x14ac:dyDescent="0.3">
      <c r="A150" t="s">
        <v>157</v>
      </c>
      <c r="B150" t="s">
        <v>20</v>
      </c>
      <c r="C150" t="s">
        <v>151</v>
      </c>
      <c r="D150" t="s">
        <v>158</v>
      </c>
      <c r="E150">
        <v>2019</v>
      </c>
      <c r="F150" t="s">
        <v>207</v>
      </c>
      <c r="G150" t="s">
        <v>208</v>
      </c>
      <c r="H150">
        <v>8748</v>
      </c>
      <c r="I150" t="s">
        <v>209</v>
      </c>
      <c r="J150" t="s">
        <v>210</v>
      </c>
      <c r="K150" t="s">
        <v>211</v>
      </c>
    </row>
    <row r="151" spans="1:11" x14ac:dyDescent="0.3">
      <c r="A151" t="s">
        <v>159</v>
      </c>
      <c r="B151" t="s">
        <v>20</v>
      </c>
      <c r="C151" t="s">
        <v>151</v>
      </c>
      <c r="D151" t="s">
        <v>160</v>
      </c>
      <c r="E151">
        <v>2019</v>
      </c>
      <c r="F151" t="s">
        <v>207</v>
      </c>
      <c r="G151" t="s">
        <v>208</v>
      </c>
      <c r="H151">
        <v>11627</v>
      </c>
      <c r="I151" t="s">
        <v>209</v>
      </c>
      <c r="J151" t="s">
        <v>210</v>
      </c>
      <c r="K151" t="s">
        <v>211</v>
      </c>
    </row>
    <row r="152" spans="1:11" x14ac:dyDescent="0.3">
      <c r="A152" t="s">
        <v>161</v>
      </c>
      <c r="B152" t="s">
        <v>20</v>
      </c>
      <c r="C152" t="s">
        <v>151</v>
      </c>
      <c r="D152" t="s">
        <v>162</v>
      </c>
      <c r="E152">
        <v>2019</v>
      </c>
      <c r="F152" t="s">
        <v>207</v>
      </c>
      <c r="G152" t="s">
        <v>208</v>
      </c>
      <c r="H152">
        <v>14728</v>
      </c>
      <c r="I152" t="s">
        <v>209</v>
      </c>
      <c r="J152" t="s">
        <v>210</v>
      </c>
      <c r="K152" t="s">
        <v>211</v>
      </c>
    </row>
    <row r="153" spans="1:11" x14ac:dyDescent="0.3">
      <c r="A153" t="s">
        <v>163</v>
      </c>
      <c r="B153" t="s">
        <v>20</v>
      </c>
      <c r="C153" t="s">
        <v>151</v>
      </c>
      <c r="D153" t="s">
        <v>164</v>
      </c>
      <c r="E153">
        <v>2019</v>
      </c>
      <c r="F153" t="s">
        <v>207</v>
      </c>
      <c r="G153" t="s">
        <v>208</v>
      </c>
      <c r="H153">
        <v>9847</v>
      </c>
      <c r="I153" t="s">
        <v>209</v>
      </c>
      <c r="J153" t="s">
        <v>210</v>
      </c>
      <c r="K153" t="s">
        <v>211</v>
      </c>
    </row>
    <row r="154" spans="1:11" x14ac:dyDescent="0.3">
      <c r="A154" t="s">
        <v>165</v>
      </c>
      <c r="B154" t="s">
        <v>20</v>
      </c>
      <c r="C154" t="s">
        <v>151</v>
      </c>
      <c r="D154" t="s">
        <v>166</v>
      </c>
      <c r="E154">
        <v>2019</v>
      </c>
      <c r="F154" t="s">
        <v>207</v>
      </c>
      <c r="G154" t="s">
        <v>208</v>
      </c>
      <c r="H154">
        <v>14229</v>
      </c>
      <c r="I154" t="s">
        <v>209</v>
      </c>
      <c r="J154" t="s">
        <v>210</v>
      </c>
      <c r="K154" t="s">
        <v>211</v>
      </c>
    </row>
    <row r="155" spans="1:11" x14ac:dyDescent="0.3">
      <c r="A155" t="s">
        <v>167</v>
      </c>
      <c r="B155" t="s">
        <v>20</v>
      </c>
      <c r="C155" t="s">
        <v>168</v>
      </c>
      <c r="D155" t="s">
        <v>169</v>
      </c>
      <c r="E155">
        <v>2019</v>
      </c>
      <c r="F155" t="s">
        <v>207</v>
      </c>
      <c r="G155" t="s">
        <v>208</v>
      </c>
      <c r="H155">
        <v>20325</v>
      </c>
      <c r="I155" t="s">
        <v>209</v>
      </c>
      <c r="J155" t="s">
        <v>210</v>
      </c>
      <c r="K155" t="s">
        <v>211</v>
      </c>
    </row>
    <row r="156" spans="1:11" x14ac:dyDescent="0.3">
      <c r="A156" t="s">
        <v>170</v>
      </c>
      <c r="B156" t="s">
        <v>20</v>
      </c>
      <c r="C156" t="s">
        <v>168</v>
      </c>
      <c r="D156" t="s">
        <v>171</v>
      </c>
      <c r="E156">
        <v>2019</v>
      </c>
      <c r="F156" t="s">
        <v>207</v>
      </c>
      <c r="G156" t="s">
        <v>208</v>
      </c>
      <c r="H156">
        <v>5067</v>
      </c>
      <c r="I156" t="s">
        <v>209</v>
      </c>
      <c r="J156" t="s">
        <v>210</v>
      </c>
      <c r="K156" t="s">
        <v>211</v>
      </c>
    </row>
    <row r="157" spans="1:11" x14ac:dyDescent="0.3">
      <c r="A157" t="s">
        <v>172</v>
      </c>
      <c r="B157" t="s">
        <v>20</v>
      </c>
      <c r="C157" t="s">
        <v>168</v>
      </c>
      <c r="D157" t="s">
        <v>173</v>
      </c>
      <c r="E157">
        <v>2019</v>
      </c>
      <c r="F157" t="s">
        <v>207</v>
      </c>
      <c r="G157" t="s">
        <v>208</v>
      </c>
      <c r="H157">
        <v>5851</v>
      </c>
      <c r="I157" t="s">
        <v>209</v>
      </c>
      <c r="J157" t="s">
        <v>210</v>
      </c>
      <c r="K157" t="s">
        <v>211</v>
      </c>
    </row>
    <row r="158" spans="1:11" x14ac:dyDescent="0.3">
      <c r="A158" t="s">
        <v>174</v>
      </c>
      <c r="B158" t="s">
        <v>20</v>
      </c>
      <c r="C158" t="s">
        <v>168</v>
      </c>
      <c r="D158" t="s">
        <v>175</v>
      </c>
      <c r="E158">
        <v>2019</v>
      </c>
      <c r="F158" t="s">
        <v>207</v>
      </c>
      <c r="G158" t="s">
        <v>208</v>
      </c>
      <c r="H158">
        <v>1854</v>
      </c>
      <c r="I158" t="s">
        <v>209</v>
      </c>
      <c r="J158" t="s">
        <v>210</v>
      </c>
      <c r="K158" t="s">
        <v>211</v>
      </c>
    </row>
    <row r="159" spans="1:11" x14ac:dyDescent="0.3">
      <c r="A159" t="s">
        <v>176</v>
      </c>
      <c r="B159" t="s">
        <v>20</v>
      </c>
      <c r="C159" t="s">
        <v>168</v>
      </c>
      <c r="D159" t="s">
        <v>177</v>
      </c>
      <c r="E159">
        <v>2019</v>
      </c>
      <c r="F159" t="s">
        <v>207</v>
      </c>
      <c r="G159" t="s">
        <v>208</v>
      </c>
      <c r="H159">
        <v>2464</v>
      </c>
      <c r="I159" t="s">
        <v>209</v>
      </c>
      <c r="J159" t="s">
        <v>210</v>
      </c>
      <c r="K159" t="s">
        <v>211</v>
      </c>
    </row>
    <row r="160" spans="1:11" x14ac:dyDescent="0.3">
      <c r="A160" t="s">
        <v>178</v>
      </c>
      <c r="B160" t="s">
        <v>20</v>
      </c>
      <c r="C160" t="s">
        <v>168</v>
      </c>
      <c r="D160" t="s">
        <v>179</v>
      </c>
      <c r="E160">
        <v>2019</v>
      </c>
      <c r="F160" t="s">
        <v>207</v>
      </c>
      <c r="G160" t="s">
        <v>208</v>
      </c>
      <c r="H160">
        <v>13727</v>
      </c>
      <c r="I160" t="s">
        <v>209</v>
      </c>
      <c r="J160" t="s">
        <v>210</v>
      </c>
      <c r="K160" t="s">
        <v>211</v>
      </c>
    </row>
    <row r="161" spans="1:11" x14ac:dyDescent="0.3">
      <c r="A161" t="s">
        <v>180</v>
      </c>
      <c r="B161" t="s">
        <v>20</v>
      </c>
      <c r="C161" t="s">
        <v>168</v>
      </c>
      <c r="D161" t="s">
        <v>181</v>
      </c>
      <c r="E161">
        <v>2019</v>
      </c>
      <c r="F161" t="s">
        <v>207</v>
      </c>
      <c r="G161" t="s">
        <v>208</v>
      </c>
      <c r="H161">
        <v>3062</v>
      </c>
      <c r="I161" t="s">
        <v>209</v>
      </c>
      <c r="J161" t="s">
        <v>210</v>
      </c>
      <c r="K161" t="s">
        <v>211</v>
      </c>
    </row>
    <row r="162" spans="1:11" x14ac:dyDescent="0.3">
      <c r="A162" t="s">
        <v>182</v>
      </c>
      <c r="B162" t="s">
        <v>20</v>
      </c>
      <c r="C162" t="s">
        <v>168</v>
      </c>
      <c r="D162" t="s">
        <v>183</v>
      </c>
      <c r="E162">
        <v>2019</v>
      </c>
      <c r="F162" t="s">
        <v>207</v>
      </c>
      <c r="G162" t="s">
        <v>208</v>
      </c>
      <c r="H162">
        <v>3682</v>
      </c>
      <c r="I162" t="s">
        <v>209</v>
      </c>
      <c r="J162" t="s">
        <v>210</v>
      </c>
      <c r="K162" t="s">
        <v>211</v>
      </c>
    </row>
    <row r="163" spans="1:11" x14ac:dyDescent="0.3">
      <c r="A163" t="s">
        <v>184</v>
      </c>
      <c r="B163" t="s">
        <v>20</v>
      </c>
      <c r="C163" t="s">
        <v>185</v>
      </c>
      <c r="D163" t="s">
        <v>186</v>
      </c>
      <c r="E163">
        <v>2019</v>
      </c>
      <c r="F163" t="s">
        <v>207</v>
      </c>
      <c r="G163" t="s">
        <v>208</v>
      </c>
      <c r="H163">
        <v>14331</v>
      </c>
      <c r="I163" t="s">
        <v>209</v>
      </c>
      <c r="J163" t="s">
        <v>210</v>
      </c>
      <c r="K163" t="s">
        <v>211</v>
      </c>
    </row>
    <row r="164" spans="1:11" x14ac:dyDescent="0.3">
      <c r="A164" t="s">
        <v>187</v>
      </c>
      <c r="B164" t="s">
        <v>20</v>
      </c>
      <c r="C164" t="s">
        <v>185</v>
      </c>
      <c r="D164" t="s">
        <v>188</v>
      </c>
      <c r="E164">
        <v>2019</v>
      </c>
      <c r="F164" t="s">
        <v>207</v>
      </c>
      <c r="G164" t="s">
        <v>208</v>
      </c>
      <c r="H164">
        <v>4932</v>
      </c>
      <c r="I164" t="s">
        <v>209</v>
      </c>
      <c r="J164" t="s">
        <v>210</v>
      </c>
      <c r="K164" t="s">
        <v>211</v>
      </c>
    </row>
    <row r="165" spans="1:11" x14ac:dyDescent="0.3">
      <c r="A165" t="s">
        <v>189</v>
      </c>
      <c r="B165" t="s">
        <v>20</v>
      </c>
      <c r="C165" t="s">
        <v>185</v>
      </c>
      <c r="D165" t="s">
        <v>190</v>
      </c>
      <c r="E165">
        <v>2019</v>
      </c>
      <c r="F165" t="s">
        <v>207</v>
      </c>
      <c r="G165" t="s">
        <v>208</v>
      </c>
      <c r="H165">
        <v>2555</v>
      </c>
      <c r="I165" t="s">
        <v>209</v>
      </c>
      <c r="J165" t="s">
        <v>210</v>
      </c>
      <c r="K165" t="s">
        <v>211</v>
      </c>
    </row>
    <row r="166" spans="1:11" x14ac:dyDescent="0.3">
      <c r="A166" t="s">
        <v>191</v>
      </c>
      <c r="B166" t="s">
        <v>20</v>
      </c>
      <c r="C166" t="s">
        <v>185</v>
      </c>
      <c r="D166" t="s">
        <v>192</v>
      </c>
      <c r="E166">
        <v>2019</v>
      </c>
      <c r="F166" t="s">
        <v>207</v>
      </c>
      <c r="G166" t="s">
        <v>208</v>
      </c>
      <c r="H166">
        <v>6620</v>
      </c>
      <c r="I166" t="s">
        <v>209</v>
      </c>
      <c r="J166" t="s">
        <v>210</v>
      </c>
      <c r="K166" t="s">
        <v>211</v>
      </c>
    </row>
    <row r="167" spans="1:11" x14ac:dyDescent="0.3">
      <c r="A167" t="s">
        <v>193</v>
      </c>
      <c r="B167" t="s">
        <v>20</v>
      </c>
      <c r="C167" t="s">
        <v>194</v>
      </c>
      <c r="D167" t="s">
        <v>195</v>
      </c>
      <c r="E167">
        <v>2019</v>
      </c>
      <c r="F167" t="s">
        <v>207</v>
      </c>
      <c r="G167" t="s">
        <v>208</v>
      </c>
      <c r="H167">
        <v>57500</v>
      </c>
      <c r="I167" t="s">
        <v>209</v>
      </c>
      <c r="J167" t="s">
        <v>210</v>
      </c>
      <c r="K167" t="s">
        <v>211</v>
      </c>
    </row>
    <row r="168" spans="1:11" x14ac:dyDescent="0.3">
      <c r="A168" t="s">
        <v>196</v>
      </c>
      <c r="B168" t="s">
        <v>20</v>
      </c>
      <c r="C168" t="s">
        <v>194</v>
      </c>
      <c r="D168" t="s">
        <v>197</v>
      </c>
      <c r="E168">
        <v>2019</v>
      </c>
      <c r="F168" t="s">
        <v>207</v>
      </c>
      <c r="G168" t="s">
        <v>208</v>
      </c>
      <c r="H168">
        <v>37511</v>
      </c>
      <c r="I168" t="s">
        <v>209</v>
      </c>
      <c r="J168" t="s">
        <v>210</v>
      </c>
      <c r="K168" t="s">
        <v>211</v>
      </c>
    </row>
    <row r="169" spans="1:11" x14ac:dyDescent="0.3">
      <c r="A169" t="s">
        <v>198</v>
      </c>
      <c r="B169" t="s">
        <v>20</v>
      </c>
      <c r="C169" t="s">
        <v>194</v>
      </c>
      <c r="D169" t="s">
        <v>199</v>
      </c>
      <c r="E169">
        <v>2019</v>
      </c>
      <c r="F169" t="s">
        <v>207</v>
      </c>
      <c r="G169" t="s">
        <v>208</v>
      </c>
      <c r="H169">
        <v>7536</v>
      </c>
      <c r="I169" t="s">
        <v>209</v>
      </c>
      <c r="J169" t="s">
        <v>210</v>
      </c>
      <c r="K169" t="s">
        <v>211</v>
      </c>
    </row>
    <row r="170" spans="1:11" x14ac:dyDescent="0.3">
      <c r="A170" t="s">
        <v>19</v>
      </c>
      <c r="B170" t="s">
        <v>20</v>
      </c>
      <c r="C170" t="s">
        <v>21</v>
      </c>
      <c r="D170" t="s">
        <v>22</v>
      </c>
      <c r="E170">
        <v>2020</v>
      </c>
      <c r="F170" t="s">
        <v>207</v>
      </c>
      <c r="G170" t="s">
        <v>208</v>
      </c>
      <c r="H170">
        <v>344374</v>
      </c>
      <c r="I170" t="s">
        <v>209</v>
      </c>
      <c r="J170" t="s">
        <v>210</v>
      </c>
      <c r="K170" t="s">
        <v>211</v>
      </c>
    </row>
    <row r="171" spans="1:11" x14ac:dyDescent="0.3">
      <c r="A171" t="s">
        <v>23</v>
      </c>
      <c r="B171" t="s">
        <v>20</v>
      </c>
      <c r="C171" t="s">
        <v>21</v>
      </c>
      <c r="D171" t="s">
        <v>24</v>
      </c>
      <c r="E171">
        <v>2020</v>
      </c>
      <c r="F171" t="s">
        <v>207</v>
      </c>
      <c r="G171" t="s">
        <v>208</v>
      </c>
      <c r="H171">
        <v>229115</v>
      </c>
      <c r="I171" t="s">
        <v>209</v>
      </c>
      <c r="J171" t="s">
        <v>210</v>
      </c>
      <c r="K171" t="s">
        <v>211</v>
      </c>
    </row>
    <row r="172" spans="1:11" x14ac:dyDescent="0.3">
      <c r="A172" t="s">
        <v>25</v>
      </c>
      <c r="B172" t="s">
        <v>20</v>
      </c>
      <c r="C172" t="s">
        <v>21</v>
      </c>
      <c r="D172" t="s">
        <v>26</v>
      </c>
      <c r="E172">
        <v>2020</v>
      </c>
      <c r="F172" t="s">
        <v>207</v>
      </c>
      <c r="G172" t="s">
        <v>208</v>
      </c>
      <c r="H172">
        <v>38334</v>
      </c>
      <c r="I172" t="s">
        <v>209</v>
      </c>
      <c r="J172" t="s">
        <v>210</v>
      </c>
      <c r="K172" t="s">
        <v>211</v>
      </c>
    </row>
    <row r="173" spans="1:11" x14ac:dyDescent="0.3">
      <c r="A173" t="s">
        <v>27</v>
      </c>
      <c r="B173" t="s">
        <v>20</v>
      </c>
      <c r="C173" t="s">
        <v>21</v>
      </c>
      <c r="D173" t="s">
        <v>28</v>
      </c>
      <c r="E173">
        <v>2020</v>
      </c>
      <c r="F173" t="s">
        <v>207</v>
      </c>
      <c r="G173" t="s">
        <v>208</v>
      </c>
      <c r="H173">
        <v>87192</v>
      </c>
      <c r="I173" t="s">
        <v>209</v>
      </c>
      <c r="J173" t="s">
        <v>210</v>
      </c>
      <c r="K173" t="s">
        <v>211</v>
      </c>
    </row>
    <row r="174" spans="1:11" x14ac:dyDescent="0.3">
      <c r="A174" t="s">
        <v>29</v>
      </c>
      <c r="B174" t="s">
        <v>20</v>
      </c>
      <c r="C174" t="s">
        <v>21</v>
      </c>
      <c r="D174" t="s">
        <v>30</v>
      </c>
      <c r="E174">
        <v>2020</v>
      </c>
      <c r="F174" t="s">
        <v>207</v>
      </c>
      <c r="G174" t="s">
        <v>208</v>
      </c>
      <c r="H174">
        <v>224427</v>
      </c>
      <c r="I174" t="s">
        <v>209</v>
      </c>
      <c r="J174" t="s">
        <v>210</v>
      </c>
      <c r="K174" t="s">
        <v>211</v>
      </c>
    </row>
    <row r="175" spans="1:11" x14ac:dyDescent="0.3">
      <c r="A175" t="s">
        <v>31</v>
      </c>
      <c r="B175" t="s">
        <v>20</v>
      </c>
      <c r="C175" t="s">
        <v>21</v>
      </c>
      <c r="D175" t="s">
        <v>32</v>
      </c>
      <c r="E175">
        <v>2020</v>
      </c>
      <c r="F175" t="s">
        <v>207</v>
      </c>
      <c r="G175" t="s">
        <v>208</v>
      </c>
      <c r="H175">
        <v>43024</v>
      </c>
      <c r="I175" t="s">
        <v>209</v>
      </c>
      <c r="J175" t="s">
        <v>210</v>
      </c>
      <c r="K175" t="s">
        <v>211</v>
      </c>
    </row>
    <row r="176" spans="1:11" x14ac:dyDescent="0.3">
      <c r="A176" t="s">
        <v>33</v>
      </c>
      <c r="B176" t="s">
        <v>20</v>
      </c>
      <c r="C176" t="s">
        <v>21</v>
      </c>
      <c r="D176" t="s">
        <v>34</v>
      </c>
      <c r="E176">
        <v>2020</v>
      </c>
      <c r="F176" t="s">
        <v>207</v>
      </c>
      <c r="G176" t="s">
        <v>208</v>
      </c>
      <c r="H176">
        <v>42798</v>
      </c>
      <c r="I176" t="s">
        <v>209</v>
      </c>
      <c r="J176" t="s">
        <v>210</v>
      </c>
      <c r="K176" t="s">
        <v>211</v>
      </c>
    </row>
    <row r="177" spans="1:11" x14ac:dyDescent="0.3">
      <c r="A177" t="s">
        <v>35</v>
      </c>
      <c r="B177" t="s">
        <v>20</v>
      </c>
      <c r="C177" t="s">
        <v>21</v>
      </c>
      <c r="D177" t="s">
        <v>36</v>
      </c>
      <c r="E177">
        <v>2020</v>
      </c>
      <c r="F177" t="s">
        <v>207</v>
      </c>
      <c r="G177" t="s">
        <v>208</v>
      </c>
      <c r="H177">
        <v>3924</v>
      </c>
      <c r="I177" t="s">
        <v>209</v>
      </c>
      <c r="J177" t="s">
        <v>210</v>
      </c>
      <c r="K177" t="s">
        <v>211</v>
      </c>
    </row>
    <row r="178" spans="1:11" x14ac:dyDescent="0.3">
      <c r="A178" t="s">
        <v>37</v>
      </c>
      <c r="B178" t="s">
        <v>20</v>
      </c>
      <c r="C178" t="s">
        <v>21</v>
      </c>
      <c r="D178" t="s">
        <v>38</v>
      </c>
      <c r="E178">
        <v>2020</v>
      </c>
      <c r="F178" t="s">
        <v>207</v>
      </c>
      <c r="G178" t="s">
        <v>208</v>
      </c>
      <c r="H178">
        <v>22717</v>
      </c>
      <c r="I178" t="s">
        <v>209</v>
      </c>
      <c r="J178" t="s">
        <v>210</v>
      </c>
      <c r="K178" t="s">
        <v>211</v>
      </c>
    </row>
    <row r="179" spans="1:11" x14ac:dyDescent="0.3">
      <c r="A179" t="s">
        <v>39</v>
      </c>
      <c r="B179" t="s">
        <v>20</v>
      </c>
      <c r="C179" t="s">
        <v>21</v>
      </c>
      <c r="D179" t="s">
        <v>40</v>
      </c>
      <c r="E179">
        <v>2020</v>
      </c>
      <c r="F179" t="s">
        <v>207</v>
      </c>
      <c r="G179" t="s">
        <v>208</v>
      </c>
      <c r="H179">
        <v>4515</v>
      </c>
      <c r="I179" t="s">
        <v>209</v>
      </c>
      <c r="J179" t="s">
        <v>210</v>
      </c>
      <c r="K179" t="s">
        <v>211</v>
      </c>
    </row>
    <row r="180" spans="1:11" x14ac:dyDescent="0.3">
      <c r="A180" t="s">
        <v>41</v>
      </c>
      <c r="B180" t="s">
        <v>20</v>
      </c>
      <c r="C180" t="s">
        <v>21</v>
      </c>
      <c r="D180" t="s">
        <v>42</v>
      </c>
      <c r="E180">
        <v>2020</v>
      </c>
      <c r="F180" t="s">
        <v>207</v>
      </c>
      <c r="G180" t="s">
        <v>208</v>
      </c>
      <c r="H180">
        <v>78304</v>
      </c>
      <c r="I180" t="s">
        <v>209</v>
      </c>
      <c r="J180" t="s">
        <v>210</v>
      </c>
      <c r="K180" t="s">
        <v>211</v>
      </c>
    </row>
    <row r="181" spans="1:11" x14ac:dyDescent="0.3">
      <c r="A181" t="s">
        <v>43</v>
      </c>
      <c r="B181" t="s">
        <v>20</v>
      </c>
      <c r="C181" t="s">
        <v>21</v>
      </c>
      <c r="D181" t="s">
        <v>44</v>
      </c>
      <c r="E181">
        <v>2020</v>
      </c>
      <c r="F181" t="s">
        <v>207</v>
      </c>
      <c r="G181" t="s">
        <v>208</v>
      </c>
      <c r="I181" t="s">
        <v>209</v>
      </c>
      <c r="J181" t="s">
        <v>210</v>
      </c>
      <c r="K181" t="s">
        <v>211</v>
      </c>
    </row>
    <row r="182" spans="1:11" x14ac:dyDescent="0.3">
      <c r="A182" t="s">
        <v>45</v>
      </c>
      <c r="B182" t="s">
        <v>20</v>
      </c>
      <c r="C182" t="s">
        <v>46</v>
      </c>
      <c r="D182" t="s">
        <v>47</v>
      </c>
      <c r="E182">
        <v>2020</v>
      </c>
      <c r="F182" t="s">
        <v>207</v>
      </c>
      <c r="G182" t="s">
        <v>208</v>
      </c>
      <c r="H182">
        <v>6855</v>
      </c>
      <c r="I182" t="s">
        <v>209</v>
      </c>
      <c r="J182" t="s">
        <v>210</v>
      </c>
      <c r="K182" t="s">
        <v>211</v>
      </c>
    </row>
    <row r="183" spans="1:11" x14ac:dyDescent="0.3">
      <c r="A183" t="s">
        <v>48</v>
      </c>
      <c r="B183" t="s">
        <v>20</v>
      </c>
      <c r="C183" t="s">
        <v>46</v>
      </c>
      <c r="D183" t="s">
        <v>49</v>
      </c>
      <c r="E183">
        <v>2020</v>
      </c>
      <c r="F183" t="s">
        <v>207</v>
      </c>
      <c r="G183" t="s">
        <v>208</v>
      </c>
      <c r="H183">
        <v>16065</v>
      </c>
      <c r="I183" t="s">
        <v>209</v>
      </c>
      <c r="J183" t="s">
        <v>210</v>
      </c>
      <c r="K183" t="s">
        <v>211</v>
      </c>
    </row>
    <row r="184" spans="1:11" x14ac:dyDescent="0.3">
      <c r="A184" t="s">
        <v>50</v>
      </c>
      <c r="B184" t="s">
        <v>20</v>
      </c>
      <c r="C184" t="s">
        <v>46</v>
      </c>
      <c r="D184" t="s">
        <v>51</v>
      </c>
      <c r="E184">
        <v>2020</v>
      </c>
      <c r="F184" t="s">
        <v>207</v>
      </c>
      <c r="G184" t="s">
        <v>208</v>
      </c>
      <c r="H184">
        <v>9807</v>
      </c>
      <c r="I184" t="s">
        <v>209</v>
      </c>
      <c r="J184" t="s">
        <v>210</v>
      </c>
      <c r="K184" t="s">
        <v>211</v>
      </c>
    </row>
    <row r="185" spans="1:11" x14ac:dyDescent="0.3">
      <c r="A185" t="s">
        <v>52</v>
      </c>
      <c r="B185" t="s">
        <v>20</v>
      </c>
      <c r="C185" t="s">
        <v>46</v>
      </c>
      <c r="D185" t="s">
        <v>53</v>
      </c>
      <c r="E185">
        <v>2020</v>
      </c>
      <c r="F185" t="s">
        <v>207</v>
      </c>
      <c r="G185" t="s">
        <v>208</v>
      </c>
      <c r="H185">
        <v>2669</v>
      </c>
      <c r="I185" t="s">
        <v>209</v>
      </c>
      <c r="J185" t="s">
        <v>210</v>
      </c>
      <c r="K185" t="s">
        <v>211</v>
      </c>
    </row>
    <row r="186" spans="1:11" x14ac:dyDescent="0.3">
      <c r="A186" t="s">
        <v>54</v>
      </c>
      <c r="B186" t="s">
        <v>20</v>
      </c>
      <c r="C186" t="s">
        <v>46</v>
      </c>
      <c r="D186" t="s">
        <v>55</v>
      </c>
      <c r="E186">
        <v>2020</v>
      </c>
      <c r="F186" t="s">
        <v>207</v>
      </c>
      <c r="G186" t="s">
        <v>208</v>
      </c>
      <c r="H186">
        <v>28894</v>
      </c>
      <c r="I186" t="s">
        <v>209</v>
      </c>
      <c r="J186" t="s">
        <v>210</v>
      </c>
      <c r="K186" t="s">
        <v>211</v>
      </c>
    </row>
    <row r="187" spans="1:11" x14ac:dyDescent="0.3">
      <c r="A187" t="s">
        <v>56</v>
      </c>
      <c r="B187" t="s">
        <v>20</v>
      </c>
      <c r="C187" t="s">
        <v>46</v>
      </c>
      <c r="D187" t="s">
        <v>57</v>
      </c>
      <c r="E187">
        <v>2020</v>
      </c>
      <c r="F187" t="s">
        <v>207</v>
      </c>
      <c r="G187" t="s">
        <v>208</v>
      </c>
      <c r="H187">
        <v>9415</v>
      </c>
      <c r="I187" t="s">
        <v>209</v>
      </c>
      <c r="J187" t="s">
        <v>210</v>
      </c>
      <c r="K187" t="s">
        <v>211</v>
      </c>
    </row>
    <row r="188" spans="1:11" x14ac:dyDescent="0.3">
      <c r="A188" t="s">
        <v>58</v>
      </c>
      <c r="B188" t="s">
        <v>20</v>
      </c>
      <c r="C188" t="s">
        <v>46</v>
      </c>
      <c r="D188" t="s">
        <v>59</v>
      </c>
      <c r="E188">
        <v>2020</v>
      </c>
      <c r="F188" t="s">
        <v>207</v>
      </c>
      <c r="G188" t="s">
        <v>208</v>
      </c>
      <c r="H188">
        <v>19973</v>
      </c>
      <c r="I188" t="s">
        <v>209</v>
      </c>
      <c r="J188" t="s">
        <v>210</v>
      </c>
      <c r="K188" t="s">
        <v>211</v>
      </c>
    </row>
    <row r="189" spans="1:11" x14ac:dyDescent="0.3">
      <c r="A189" t="s">
        <v>60</v>
      </c>
      <c r="B189" t="s">
        <v>20</v>
      </c>
      <c r="C189" t="s">
        <v>46</v>
      </c>
      <c r="D189" t="s">
        <v>61</v>
      </c>
      <c r="E189">
        <v>2020</v>
      </c>
      <c r="F189" t="s">
        <v>207</v>
      </c>
      <c r="G189" t="s">
        <v>208</v>
      </c>
      <c r="H189">
        <v>29802</v>
      </c>
      <c r="I189" t="s">
        <v>209</v>
      </c>
      <c r="J189" t="s">
        <v>210</v>
      </c>
      <c r="K189" t="s">
        <v>211</v>
      </c>
    </row>
    <row r="190" spans="1:11" x14ac:dyDescent="0.3">
      <c r="A190" t="s">
        <v>62</v>
      </c>
      <c r="B190" t="s">
        <v>20</v>
      </c>
      <c r="C190" t="s">
        <v>63</v>
      </c>
      <c r="D190" t="s">
        <v>64</v>
      </c>
      <c r="E190">
        <v>2020</v>
      </c>
      <c r="F190" t="s">
        <v>207</v>
      </c>
      <c r="G190" t="s">
        <v>208</v>
      </c>
      <c r="H190">
        <v>5031</v>
      </c>
      <c r="I190" t="s">
        <v>209</v>
      </c>
      <c r="J190" t="s">
        <v>210</v>
      </c>
      <c r="K190" t="s">
        <v>211</v>
      </c>
    </row>
    <row r="191" spans="1:11" x14ac:dyDescent="0.3">
      <c r="A191" t="s">
        <v>65</v>
      </c>
      <c r="B191" t="s">
        <v>20</v>
      </c>
      <c r="C191" t="s">
        <v>63</v>
      </c>
      <c r="D191" t="s">
        <v>66</v>
      </c>
      <c r="E191">
        <v>2020</v>
      </c>
      <c r="F191" t="s">
        <v>207</v>
      </c>
      <c r="G191" t="s">
        <v>208</v>
      </c>
      <c r="H191">
        <v>3159</v>
      </c>
      <c r="I191" t="s">
        <v>209</v>
      </c>
      <c r="J191" t="s">
        <v>210</v>
      </c>
      <c r="K191" t="s">
        <v>211</v>
      </c>
    </row>
    <row r="192" spans="1:11" x14ac:dyDescent="0.3">
      <c r="A192" t="s">
        <v>67</v>
      </c>
      <c r="B192" t="s">
        <v>20</v>
      </c>
      <c r="C192" t="s">
        <v>63</v>
      </c>
      <c r="D192" t="s">
        <v>68</v>
      </c>
      <c r="E192">
        <v>2020</v>
      </c>
      <c r="F192" t="s">
        <v>207</v>
      </c>
      <c r="G192" t="s">
        <v>208</v>
      </c>
      <c r="H192">
        <v>2143</v>
      </c>
      <c r="I192" t="s">
        <v>209</v>
      </c>
      <c r="J192" t="s">
        <v>210</v>
      </c>
      <c r="K192" t="s">
        <v>211</v>
      </c>
    </row>
    <row r="193" spans="1:11" x14ac:dyDescent="0.3">
      <c r="A193" t="s">
        <v>69</v>
      </c>
      <c r="B193" t="s">
        <v>20</v>
      </c>
      <c r="C193" t="s">
        <v>63</v>
      </c>
      <c r="D193" t="s">
        <v>70</v>
      </c>
      <c r="E193">
        <v>2020</v>
      </c>
      <c r="F193" t="s">
        <v>207</v>
      </c>
      <c r="G193" t="s">
        <v>208</v>
      </c>
      <c r="H193">
        <v>2350</v>
      </c>
      <c r="I193" t="s">
        <v>209</v>
      </c>
      <c r="J193" t="s">
        <v>210</v>
      </c>
      <c r="K193" t="s">
        <v>211</v>
      </c>
    </row>
    <row r="194" spans="1:11" x14ac:dyDescent="0.3">
      <c r="A194" t="s">
        <v>71</v>
      </c>
      <c r="B194" t="s">
        <v>20</v>
      </c>
      <c r="C194" t="s">
        <v>63</v>
      </c>
      <c r="D194" t="s">
        <v>72</v>
      </c>
      <c r="E194">
        <v>2020</v>
      </c>
      <c r="F194" t="s">
        <v>207</v>
      </c>
      <c r="G194" t="s">
        <v>208</v>
      </c>
      <c r="H194">
        <v>2396</v>
      </c>
      <c r="I194" t="s">
        <v>209</v>
      </c>
      <c r="J194" t="s">
        <v>210</v>
      </c>
      <c r="K194" t="s">
        <v>211</v>
      </c>
    </row>
    <row r="195" spans="1:11" x14ac:dyDescent="0.3">
      <c r="A195" t="s">
        <v>73</v>
      </c>
      <c r="B195" t="s">
        <v>20</v>
      </c>
      <c r="C195" t="s">
        <v>63</v>
      </c>
      <c r="D195" t="s">
        <v>74</v>
      </c>
      <c r="E195">
        <v>2020</v>
      </c>
      <c r="F195" t="s">
        <v>207</v>
      </c>
      <c r="G195" t="s">
        <v>208</v>
      </c>
      <c r="H195">
        <v>903</v>
      </c>
      <c r="I195" t="s">
        <v>209</v>
      </c>
      <c r="J195" t="s">
        <v>210</v>
      </c>
      <c r="K195" t="s">
        <v>211</v>
      </c>
    </row>
    <row r="196" spans="1:11" x14ac:dyDescent="0.3">
      <c r="A196" t="s">
        <v>75</v>
      </c>
      <c r="B196" t="s">
        <v>20</v>
      </c>
      <c r="C196" t="s">
        <v>76</v>
      </c>
      <c r="D196" t="s">
        <v>77</v>
      </c>
      <c r="E196">
        <v>2020</v>
      </c>
      <c r="F196" t="s">
        <v>207</v>
      </c>
      <c r="G196" t="s">
        <v>208</v>
      </c>
      <c r="H196">
        <v>48917</v>
      </c>
      <c r="I196" t="s">
        <v>209</v>
      </c>
      <c r="J196" t="s">
        <v>210</v>
      </c>
      <c r="K196" t="s">
        <v>211</v>
      </c>
    </row>
    <row r="197" spans="1:11" x14ac:dyDescent="0.3">
      <c r="A197" t="s">
        <v>78</v>
      </c>
      <c r="B197" t="s">
        <v>20</v>
      </c>
      <c r="C197" t="s">
        <v>76</v>
      </c>
      <c r="D197" t="s">
        <v>79</v>
      </c>
      <c r="E197">
        <v>2020</v>
      </c>
      <c r="F197" t="s">
        <v>207</v>
      </c>
      <c r="G197" t="s">
        <v>208</v>
      </c>
      <c r="H197">
        <v>24727</v>
      </c>
      <c r="I197" t="s">
        <v>209</v>
      </c>
      <c r="J197" t="s">
        <v>210</v>
      </c>
      <c r="K197" t="s">
        <v>211</v>
      </c>
    </row>
    <row r="198" spans="1:11" x14ac:dyDescent="0.3">
      <c r="A198" t="s">
        <v>80</v>
      </c>
      <c r="B198" t="s">
        <v>20</v>
      </c>
      <c r="C198" t="s">
        <v>76</v>
      </c>
      <c r="D198" t="s">
        <v>81</v>
      </c>
      <c r="E198">
        <v>2020</v>
      </c>
      <c r="F198" t="s">
        <v>207</v>
      </c>
      <c r="G198" t="s">
        <v>208</v>
      </c>
      <c r="H198">
        <v>12767</v>
      </c>
      <c r="I198" t="s">
        <v>209</v>
      </c>
      <c r="J198" t="s">
        <v>210</v>
      </c>
      <c r="K198" t="s">
        <v>211</v>
      </c>
    </row>
    <row r="199" spans="1:11" x14ac:dyDescent="0.3">
      <c r="A199" t="s">
        <v>82</v>
      </c>
      <c r="B199" t="s">
        <v>20</v>
      </c>
      <c r="C199" t="s">
        <v>83</v>
      </c>
      <c r="D199" t="s">
        <v>84</v>
      </c>
      <c r="E199">
        <v>2020</v>
      </c>
      <c r="F199" t="s">
        <v>207</v>
      </c>
      <c r="G199" t="s">
        <v>208</v>
      </c>
      <c r="H199">
        <v>12762</v>
      </c>
      <c r="I199" t="s">
        <v>209</v>
      </c>
      <c r="J199" t="s">
        <v>210</v>
      </c>
      <c r="K199" t="s">
        <v>211</v>
      </c>
    </row>
    <row r="200" spans="1:11" x14ac:dyDescent="0.3">
      <c r="A200" t="s">
        <v>85</v>
      </c>
      <c r="B200" t="s">
        <v>20</v>
      </c>
      <c r="C200" t="s">
        <v>83</v>
      </c>
      <c r="D200" t="s">
        <v>86</v>
      </c>
      <c r="E200">
        <v>2020</v>
      </c>
      <c r="F200" t="s">
        <v>207</v>
      </c>
      <c r="G200" t="s">
        <v>208</v>
      </c>
      <c r="H200">
        <v>5070</v>
      </c>
      <c r="I200" t="s">
        <v>209</v>
      </c>
      <c r="J200" t="s">
        <v>210</v>
      </c>
      <c r="K200" t="s">
        <v>211</v>
      </c>
    </row>
    <row r="201" spans="1:11" x14ac:dyDescent="0.3">
      <c r="A201" t="s">
        <v>87</v>
      </c>
      <c r="B201" t="s">
        <v>20</v>
      </c>
      <c r="C201" t="s">
        <v>83</v>
      </c>
      <c r="D201" t="s">
        <v>88</v>
      </c>
      <c r="E201">
        <v>2020</v>
      </c>
      <c r="F201" t="s">
        <v>207</v>
      </c>
      <c r="G201" t="s">
        <v>208</v>
      </c>
      <c r="H201">
        <v>6916</v>
      </c>
      <c r="I201" t="s">
        <v>209</v>
      </c>
      <c r="J201" t="s">
        <v>210</v>
      </c>
      <c r="K201" t="s">
        <v>211</v>
      </c>
    </row>
    <row r="202" spans="1:11" x14ac:dyDescent="0.3">
      <c r="A202" t="s">
        <v>89</v>
      </c>
      <c r="B202" t="s">
        <v>20</v>
      </c>
      <c r="C202" t="s">
        <v>83</v>
      </c>
      <c r="D202" t="s">
        <v>90</v>
      </c>
      <c r="E202">
        <v>2020</v>
      </c>
      <c r="F202" t="s">
        <v>207</v>
      </c>
      <c r="G202" t="s">
        <v>208</v>
      </c>
      <c r="H202">
        <v>6239</v>
      </c>
      <c r="I202" t="s">
        <v>209</v>
      </c>
      <c r="J202" t="s">
        <v>210</v>
      </c>
      <c r="K202" t="s">
        <v>211</v>
      </c>
    </row>
    <row r="203" spans="1:11" x14ac:dyDescent="0.3">
      <c r="A203" t="s">
        <v>91</v>
      </c>
      <c r="B203" t="s">
        <v>20</v>
      </c>
      <c r="C203" t="s">
        <v>92</v>
      </c>
      <c r="D203" t="s">
        <v>93</v>
      </c>
      <c r="E203">
        <v>2020</v>
      </c>
      <c r="F203" t="s">
        <v>207</v>
      </c>
      <c r="G203" t="s">
        <v>208</v>
      </c>
      <c r="H203">
        <v>26830</v>
      </c>
      <c r="I203" t="s">
        <v>209</v>
      </c>
      <c r="J203" t="s">
        <v>210</v>
      </c>
      <c r="K203" t="s">
        <v>211</v>
      </c>
    </row>
    <row r="204" spans="1:11" x14ac:dyDescent="0.3">
      <c r="A204" t="s">
        <v>94</v>
      </c>
      <c r="B204" t="s">
        <v>20</v>
      </c>
      <c r="C204" t="s">
        <v>92</v>
      </c>
      <c r="D204" t="s">
        <v>95</v>
      </c>
      <c r="E204">
        <v>2020</v>
      </c>
      <c r="F204" t="s">
        <v>207</v>
      </c>
      <c r="G204" t="s">
        <v>208</v>
      </c>
      <c r="H204">
        <v>10403</v>
      </c>
      <c r="I204" t="s">
        <v>209</v>
      </c>
      <c r="J204" t="s">
        <v>210</v>
      </c>
      <c r="K204" t="s">
        <v>211</v>
      </c>
    </row>
    <row r="205" spans="1:11" x14ac:dyDescent="0.3">
      <c r="A205" t="s">
        <v>96</v>
      </c>
      <c r="B205" t="s">
        <v>20</v>
      </c>
      <c r="C205" t="s">
        <v>92</v>
      </c>
      <c r="D205" t="s">
        <v>97</v>
      </c>
      <c r="E205">
        <v>2020</v>
      </c>
      <c r="F205" t="s">
        <v>207</v>
      </c>
      <c r="G205" t="s">
        <v>208</v>
      </c>
      <c r="H205">
        <v>2574</v>
      </c>
      <c r="I205" t="s">
        <v>209</v>
      </c>
      <c r="J205" t="s">
        <v>210</v>
      </c>
      <c r="K205" t="s">
        <v>211</v>
      </c>
    </row>
    <row r="206" spans="1:11" x14ac:dyDescent="0.3">
      <c r="A206" t="s">
        <v>98</v>
      </c>
      <c r="B206" t="s">
        <v>20</v>
      </c>
      <c r="C206" t="s">
        <v>92</v>
      </c>
      <c r="D206" t="s">
        <v>99</v>
      </c>
      <c r="E206">
        <v>2020</v>
      </c>
      <c r="F206" t="s">
        <v>207</v>
      </c>
      <c r="G206" t="s">
        <v>208</v>
      </c>
      <c r="H206">
        <v>4122</v>
      </c>
      <c r="I206" t="s">
        <v>209</v>
      </c>
      <c r="J206" t="s">
        <v>210</v>
      </c>
      <c r="K206" t="s">
        <v>211</v>
      </c>
    </row>
    <row r="207" spans="1:11" x14ac:dyDescent="0.3">
      <c r="A207" t="s">
        <v>100</v>
      </c>
      <c r="B207" t="s">
        <v>20</v>
      </c>
      <c r="C207" t="s">
        <v>92</v>
      </c>
      <c r="D207" t="s">
        <v>101</v>
      </c>
      <c r="E207">
        <v>2020</v>
      </c>
      <c r="F207" t="s">
        <v>207</v>
      </c>
      <c r="G207" t="s">
        <v>208</v>
      </c>
      <c r="H207">
        <v>662</v>
      </c>
      <c r="I207" t="s">
        <v>209</v>
      </c>
      <c r="J207" t="s">
        <v>210</v>
      </c>
      <c r="K207" t="s">
        <v>211</v>
      </c>
    </row>
    <row r="208" spans="1:11" x14ac:dyDescent="0.3">
      <c r="A208" t="s">
        <v>102</v>
      </c>
      <c r="B208" t="s">
        <v>20</v>
      </c>
      <c r="C208" t="s">
        <v>92</v>
      </c>
      <c r="D208" t="s">
        <v>103</v>
      </c>
      <c r="E208">
        <v>2020</v>
      </c>
      <c r="F208" t="s">
        <v>207</v>
      </c>
      <c r="G208" t="s">
        <v>208</v>
      </c>
      <c r="H208">
        <v>2869</v>
      </c>
      <c r="I208" t="s">
        <v>209</v>
      </c>
      <c r="J208" t="s">
        <v>210</v>
      </c>
      <c r="K208" t="s">
        <v>211</v>
      </c>
    </row>
    <row r="209" spans="1:11" x14ac:dyDescent="0.3">
      <c r="A209" t="s">
        <v>104</v>
      </c>
      <c r="B209" t="s">
        <v>20</v>
      </c>
      <c r="C209" t="s">
        <v>92</v>
      </c>
      <c r="D209" t="s">
        <v>105</v>
      </c>
      <c r="E209">
        <v>2020</v>
      </c>
      <c r="F209" t="s">
        <v>207</v>
      </c>
      <c r="G209" t="s">
        <v>208</v>
      </c>
      <c r="H209">
        <v>542</v>
      </c>
      <c r="I209" t="s">
        <v>209</v>
      </c>
      <c r="J209" t="s">
        <v>210</v>
      </c>
      <c r="K209" t="s">
        <v>211</v>
      </c>
    </row>
    <row r="210" spans="1:11" x14ac:dyDescent="0.3">
      <c r="A210" t="s">
        <v>106</v>
      </c>
      <c r="B210" t="s">
        <v>20</v>
      </c>
      <c r="C210" t="s">
        <v>92</v>
      </c>
      <c r="D210" t="s">
        <v>107</v>
      </c>
      <c r="E210">
        <v>2020</v>
      </c>
      <c r="F210" t="s">
        <v>207</v>
      </c>
      <c r="G210" t="s">
        <v>208</v>
      </c>
      <c r="H210">
        <v>6543</v>
      </c>
      <c r="I210" t="s">
        <v>209</v>
      </c>
      <c r="J210" t="s">
        <v>210</v>
      </c>
      <c r="K210" t="s">
        <v>211</v>
      </c>
    </row>
    <row r="211" spans="1:11" x14ac:dyDescent="0.3">
      <c r="A211" t="s">
        <v>108</v>
      </c>
      <c r="B211" t="s">
        <v>20</v>
      </c>
      <c r="C211" t="s">
        <v>92</v>
      </c>
      <c r="D211" t="s">
        <v>109</v>
      </c>
      <c r="E211">
        <v>2020</v>
      </c>
      <c r="F211" t="s">
        <v>207</v>
      </c>
      <c r="G211" t="s">
        <v>208</v>
      </c>
      <c r="H211">
        <v>7543</v>
      </c>
      <c r="I211" t="s">
        <v>209</v>
      </c>
      <c r="J211" t="s">
        <v>210</v>
      </c>
      <c r="K211" t="s">
        <v>211</v>
      </c>
    </row>
    <row r="212" spans="1:11" x14ac:dyDescent="0.3">
      <c r="A212" t="s">
        <v>110</v>
      </c>
      <c r="B212" t="s">
        <v>20</v>
      </c>
      <c r="C212" t="s">
        <v>92</v>
      </c>
      <c r="D212" t="s">
        <v>111</v>
      </c>
      <c r="E212">
        <v>2020</v>
      </c>
      <c r="F212" t="s">
        <v>207</v>
      </c>
      <c r="G212" t="s">
        <v>208</v>
      </c>
      <c r="H212">
        <v>23003</v>
      </c>
      <c r="I212" t="s">
        <v>209</v>
      </c>
      <c r="J212" t="s">
        <v>210</v>
      </c>
      <c r="K212" t="s">
        <v>211</v>
      </c>
    </row>
    <row r="213" spans="1:11" x14ac:dyDescent="0.3">
      <c r="A213" t="s">
        <v>112</v>
      </c>
      <c r="B213" t="s">
        <v>20</v>
      </c>
      <c r="C213" t="s">
        <v>113</v>
      </c>
      <c r="D213" t="s">
        <v>114</v>
      </c>
      <c r="E213">
        <v>2020</v>
      </c>
      <c r="F213" t="s">
        <v>207</v>
      </c>
      <c r="G213" t="s">
        <v>208</v>
      </c>
      <c r="H213">
        <v>19368</v>
      </c>
      <c r="I213" t="s">
        <v>209</v>
      </c>
      <c r="J213" t="s">
        <v>210</v>
      </c>
      <c r="K213" t="s">
        <v>211</v>
      </c>
    </row>
    <row r="214" spans="1:11" x14ac:dyDescent="0.3">
      <c r="A214" t="s">
        <v>115</v>
      </c>
      <c r="B214" t="s">
        <v>20</v>
      </c>
      <c r="C214" t="s">
        <v>113</v>
      </c>
      <c r="D214" t="s">
        <v>116</v>
      </c>
      <c r="E214">
        <v>2020</v>
      </c>
      <c r="F214" t="s">
        <v>207</v>
      </c>
      <c r="G214" t="s">
        <v>208</v>
      </c>
      <c r="H214">
        <v>44119</v>
      </c>
      <c r="I214" t="s">
        <v>209</v>
      </c>
      <c r="J214" t="s">
        <v>210</v>
      </c>
      <c r="K214" t="s">
        <v>211</v>
      </c>
    </row>
    <row r="215" spans="1:11" x14ac:dyDescent="0.3">
      <c r="A215" t="s">
        <v>117</v>
      </c>
      <c r="B215" t="s">
        <v>20</v>
      </c>
      <c r="C215" t="s">
        <v>113</v>
      </c>
      <c r="D215" t="s">
        <v>118</v>
      </c>
      <c r="E215">
        <v>2020</v>
      </c>
      <c r="F215" t="s">
        <v>207</v>
      </c>
      <c r="G215" t="s">
        <v>208</v>
      </c>
      <c r="H215">
        <v>4604</v>
      </c>
      <c r="I215" t="s">
        <v>209</v>
      </c>
      <c r="J215" t="s">
        <v>210</v>
      </c>
      <c r="K215" t="s">
        <v>211</v>
      </c>
    </row>
    <row r="216" spans="1:11" x14ac:dyDescent="0.3">
      <c r="A216" t="s">
        <v>119</v>
      </c>
      <c r="B216" t="s">
        <v>20</v>
      </c>
      <c r="C216" t="s">
        <v>113</v>
      </c>
      <c r="D216" t="s">
        <v>120</v>
      </c>
      <c r="E216">
        <v>2020</v>
      </c>
      <c r="F216" t="s">
        <v>207</v>
      </c>
      <c r="G216" t="s">
        <v>208</v>
      </c>
      <c r="H216">
        <v>32161</v>
      </c>
      <c r="I216" t="s">
        <v>209</v>
      </c>
      <c r="J216" t="s">
        <v>210</v>
      </c>
      <c r="K216" t="s">
        <v>211</v>
      </c>
    </row>
    <row r="217" spans="1:11" x14ac:dyDescent="0.3">
      <c r="A217" t="s">
        <v>121</v>
      </c>
      <c r="B217" t="s">
        <v>20</v>
      </c>
      <c r="C217" t="s">
        <v>113</v>
      </c>
      <c r="D217" t="s">
        <v>122</v>
      </c>
      <c r="E217">
        <v>2020</v>
      </c>
      <c r="F217" t="s">
        <v>207</v>
      </c>
      <c r="G217" t="s">
        <v>208</v>
      </c>
      <c r="H217">
        <v>12718</v>
      </c>
      <c r="I217" t="s">
        <v>209</v>
      </c>
      <c r="J217" t="s">
        <v>210</v>
      </c>
      <c r="K217" t="s">
        <v>211</v>
      </c>
    </row>
    <row r="218" spans="1:11" x14ac:dyDescent="0.3">
      <c r="A218" t="s">
        <v>123</v>
      </c>
      <c r="B218" t="s">
        <v>20</v>
      </c>
      <c r="C218" t="s">
        <v>124</v>
      </c>
      <c r="D218" t="s">
        <v>125</v>
      </c>
      <c r="E218">
        <v>2020</v>
      </c>
      <c r="F218" t="s">
        <v>207</v>
      </c>
      <c r="G218" t="s">
        <v>208</v>
      </c>
      <c r="H218">
        <v>13862</v>
      </c>
      <c r="I218" t="s">
        <v>209</v>
      </c>
      <c r="J218" t="s">
        <v>210</v>
      </c>
      <c r="K218" t="s">
        <v>211</v>
      </c>
    </row>
    <row r="219" spans="1:11" x14ac:dyDescent="0.3">
      <c r="A219" t="s">
        <v>126</v>
      </c>
      <c r="B219" t="s">
        <v>20</v>
      </c>
      <c r="C219" t="s">
        <v>124</v>
      </c>
      <c r="D219" t="s">
        <v>127</v>
      </c>
      <c r="E219">
        <v>2020</v>
      </c>
      <c r="F219" t="s">
        <v>207</v>
      </c>
      <c r="G219" t="s">
        <v>208</v>
      </c>
      <c r="H219">
        <v>4229</v>
      </c>
      <c r="I219" t="s">
        <v>209</v>
      </c>
      <c r="J219" t="s">
        <v>210</v>
      </c>
      <c r="K219" t="s">
        <v>211</v>
      </c>
    </row>
    <row r="220" spans="1:11" x14ac:dyDescent="0.3">
      <c r="A220" t="s">
        <v>128</v>
      </c>
      <c r="B220" t="s">
        <v>20</v>
      </c>
      <c r="C220" t="s">
        <v>124</v>
      </c>
      <c r="D220" t="s">
        <v>129</v>
      </c>
      <c r="E220">
        <v>2020</v>
      </c>
      <c r="F220" t="s">
        <v>207</v>
      </c>
      <c r="G220" t="s">
        <v>208</v>
      </c>
      <c r="H220">
        <v>13046</v>
      </c>
      <c r="I220" t="s">
        <v>209</v>
      </c>
      <c r="J220" t="s">
        <v>210</v>
      </c>
      <c r="K220" t="s">
        <v>211</v>
      </c>
    </row>
    <row r="221" spans="1:11" x14ac:dyDescent="0.3">
      <c r="A221" t="s">
        <v>130</v>
      </c>
      <c r="B221" t="s">
        <v>20</v>
      </c>
      <c r="C221" t="s">
        <v>124</v>
      </c>
      <c r="D221" t="s">
        <v>131</v>
      </c>
      <c r="E221">
        <v>2020</v>
      </c>
      <c r="F221" t="s">
        <v>207</v>
      </c>
      <c r="G221" t="s">
        <v>208</v>
      </c>
      <c r="H221">
        <v>6142</v>
      </c>
      <c r="I221" t="s">
        <v>209</v>
      </c>
      <c r="J221" t="s">
        <v>210</v>
      </c>
      <c r="K221" t="s">
        <v>211</v>
      </c>
    </row>
    <row r="222" spans="1:11" x14ac:dyDescent="0.3">
      <c r="A222" t="s">
        <v>132</v>
      </c>
      <c r="B222" t="s">
        <v>20</v>
      </c>
      <c r="C222" t="s">
        <v>124</v>
      </c>
      <c r="D222" t="s">
        <v>133</v>
      </c>
      <c r="E222">
        <v>2020</v>
      </c>
      <c r="F222" t="s">
        <v>207</v>
      </c>
      <c r="G222" t="s">
        <v>208</v>
      </c>
      <c r="H222">
        <v>1116</v>
      </c>
      <c r="I222" t="s">
        <v>209</v>
      </c>
      <c r="J222" t="s">
        <v>210</v>
      </c>
      <c r="K222" t="s">
        <v>211</v>
      </c>
    </row>
    <row r="223" spans="1:11" x14ac:dyDescent="0.3">
      <c r="A223" t="s">
        <v>134</v>
      </c>
      <c r="B223" t="s">
        <v>20</v>
      </c>
      <c r="C223" t="s">
        <v>124</v>
      </c>
      <c r="D223" t="s">
        <v>135</v>
      </c>
      <c r="E223">
        <v>2020</v>
      </c>
      <c r="F223" t="s">
        <v>207</v>
      </c>
      <c r="G223" t="s">
        <v>208</v>
      </c>
      <c r="H223">
        <v>3762</v>
      </c>
      <c r="I223" t="s">
        <v>209</v>
      </c>
      <c r="J223" t="s">
        <v>210</v>
      </c>
      <c r="K223" t="s">
        <v>211</v>
      </c>
    </row>
    <row r="224" spans="1:11" x14ac:dyDescent="0.3">
      <c r="A224" t="s">
        <v>136</v>
      </c>
      <c r="B224" t="s">
        <v>20</v>
      </c>
      <c r="C224" t="s">
        <v>124</v>
      </c>
      <c r="D224" t="s">
        <v>137</v>
      </c>
      <c r="E224">
        <v>2020</v>
      </c>
      <c r="F224" t="s">
        <v>207</v>
      </c>
      <c r="G224" t="s">
        <v>208</v>
      </c>
      <c r="H224">
        <v>1360</v>
      </c>
      <c r="I224" t="s">
        <v>209</v>
      </c>
      <c r="J224" t="s">
        <v>210</v>
      </c>
      <c r="K224" t="s">
        <v>211</v>
      </c>
    </row>
    <row r="225" spans="1:11" x14ac:dyDescent="0.3">
      <c r="A225" t="s">
        <v>138</v>
      </c>
      <c r="B225" t="s">
        <v>20</v>
      </c>
      <c r="C225" t="s">
        <v>124</v>
      </c>
      <c r="D225" t="s">
        <v>139</v>
      </c>
      <c r="E225">
        <v>2020</v>
      </c>
      <c r="F225" t="s">
        <v>207</v>
      </c>
      <c r="G225" t="s">
        <v>208</v>
      </c>
      <c r="H225">
        <v>21147</v>
      </c>
      <c r="I225" t="s">
        <v>209</v>
      </c>
      <c r="J225" t="s">
        <v>210</v>
      </c>
      <c r="K225" t="s">
        <v>211</v>
      </c>
    </row>
    <row r="226" spans="1:11" x14ac:dyDescent="0.3">
      <c r="A226" t="s">
        <v>140</v>
      </c>
      <c r="B226" t="s">
        <v>20</v>
      </c>
      <c r="C226" t="s">
        <v>124</v>
      </c>
      <c r="D226" t="s">
        <v>141</v>
      </c>
      <c r="E226">
        <v>2020</v>
      </c>
      <c r="F226" t="s">
        <v>207</v>
      </c>
      <c r="G226" t="s">
        <v>208</v>
      </c>
      <c r="H226">
        <v>10782</v>
      </c>
      <c r="I226" t="s">
        <v>209</v>
      </c>
      <c r="J226" t="s">
        <v>210</v>
      </c>
      <c r="K226" t="s">
        <v>211</v>
      </c>
    </row>
    <row r="227" spans="1:11" x14ac:dyDescent="0.3">
      <c r="A227" t="s">
        <v>142</v>
      </c>
      <c r="B227" t="s">
        <v>20</v>
      </c>
      <c r="C227" t="s">
        <v>124</v>
      </c>
      <c r="D227" t="s">
        <v>143</v>
      </c>
      <c r="E227">
        <v>2020</v>
      </c>
      <c r="F227" t="s">
        <v>207</v>
      </c>
      <c r="G227" t="s">
        <v>208</v>
      </c>
      <c r="H227">
        <v>1902</v>
      </c>
      <c r="I227" t="s">
        <v>209</v>
      </c>
      <c r="J227" t="s">
        <v>210</v>
      </c>
      <c r="K227" t="s">
        <v>211</v>
      </c>
    </row>
    <row r="228" spans="1:11" x14ac:dyDescent="0.3">
      <c r="A228" t="s">
        <v>144</v>
      </c>
      <c r="B228" t="s">
        <v>20</v>
      </c>
      <c r="C228" t="s">
        <v>124</v>
      </c>
      <c r="D228" t="s">
        <v>145</v>
      </c>
      <c r="E228">
        <v>2020</v>
      </c>
      <c r="F228" t="s">
        <v>207</v>
      </c>
      <c r="G228" t="s">
        <v>208</v>
      </c>
      <c r="H228">
        <v>2290</v>
      </c>
      <c r="I228" t="s">
        <v>209</v>
      </c>
      <c r="J228" t="s">
        <v>210</v>
      </c>
      <c r="K228" t="s">
        <v>211</v>
      </c>
    </row>
    <row r="229" spans="1:11" x14ac:dyDescent="0.3">
      <c r="A229" t="s">
        <v>146</v>
      </c>
      <c r="B229" t="s">
        <v>20</v>
      </c>
      <c r="C229" t="s">
        <v>124</v>
      </c>
      <c r="D229" t="s">
        <v>147</v>
      </c>
      <c r="E229">
        <v>2020</v>
      </c>
      <c r="F229" t="s">
        <v>207</v>
      </c>
      <c r="G229" t="s">
        <v>208</v>
      </c>
      <c r="H229">
        <v>3032</v>
      </c>
      <c r="I229" t="s">
        <v>209</v>
      </c>
      <c r="J229" t="s">
        <v>210</v>
      </c>
      <c r="K229" t="s">
        <v>211</v>
      </c>
    </row>
    <row r="230" spans="1:11" x14ac:dyDescent="0.3">
      <c r="A230" t="s">
        <v>148</v>
      </c>
      <c r="B230" t="s">
        <v>20</v>
      </c>
      <c r="C230" t="s">
        <v>124</v>
      </c>
      <c r="D230" t="s">
        <v>149</v>
      </c>
      <c r="E230">
        <v>2020</v>
      </c>
      <c r="F230" t="s">
        <v>207</v>
      </c>
      <c r="G230" t="s">
        <v>208</v>
      </c>
      <c r="H230">
        <v>2422</v>
      </c>
      <c r="I230" t="s">
        <v>209</v>
      </c>
      <c r="J230" t="s">
        <v>210</v>
      </c>
      <c r="K230" t="s">
        <v>211</v>
      </c>
    </row>
    <row r="231" spans="1:11" x14ac:dyDescent="0.3">
      <c r="A231" t="s">
        <v>150</v>
      </c>
      <c r="B231" t="s">
        <v>20</v>
      </c>
      <c r="C231" t="s">
        <v>151</v>
      </c>
      <c r="D231" t="s">
        <v>152</v>
      </c>
      <c r="E231">
        <v>2020</v>
      </c>
      <c r="F231" t="s">
        <v>207</v>
      </c>
      <c r="G231" t="s">
        <v>208</v>
      </c>
      <c r="H231">
        <v>79944</v>
      </c>
      <c r="I231" t="s">
        <v>209</v>
      </c>
      <c r="J231" t="s">
        <v>210</v>
      </c>
      <c r="K231" t="s">
        <v>211</v>
      </c>
    </row>
    <row r="232" spans="1:11" x14ac:dyDescent="0.3">
      <c r="A232" t="s">
        <v>153</v>
      </c>
      <c r="B232" t="s">
        <v>20</v>
      </c>
      <c r="C232" t="s">
        <v>151</v>
      </c>
      <c r="D232" t="s">
        <v>154</v>
      </c>
      <c r="E232">
        <v>2020</v>
      </c>
      <c r="F232" t="s">
        <v>207</v>
      </c>
      <c r="G232" t="s">
        <v>208</v>
      </c>
      <c r="H232">
        <v>19344</v>
      </c>
      <c r="I232" t="s">
        <v>209</v>
      </c>
      <c r="J232" t="s">
        <v>210</v>
      </c>
      <c r="K232" t="s">
        <v>211</v>
      </c>
    </row>
    <row r="233" spans="1:11" x14ac:dyDescent="0.3">
      <c r="A233" t="s">
        <v>155</v>
      </c>
      <c r="B233" t="s">
        <v>20</v>
      </c>
      <c r="C233" t="s">
        <v>151</v>
      </c>
      <c r="D233" t="s">
        <v>156</v>
      </c>
      <c r="E233">
        <v>2020</v>
      </c>
      <c r="F233" t="s">
        <v>207</v>
      </c>
      <c r="G233" t="s">
        <v>208</v>
      </c>
      <c r="H233">
        <v>10054</v>
      </c>
      <c r="I233" t="s">
        <v>209</v>
      </c>
      <c r="J233" t="s">
        <v>210</v>
      </c>
      <c r="K233" t="s">
        <v>211</v>
      </c>
    </row>
    <row r="234" spans="1:11" x14ac:dyDescent="0.3">
      <c r="A234" t="s">
        <v>157</v>
      </c>
      <c r="B234" t="s">
        <v>20</v>
      </c>
      <c r="C234" t="s">
        <v>151</v>
      </c>
      <c r="D234" t="s">
        <v>158</v>
      </c>
      <c r="E234">
        <v>2020</v>
      </c>
      <c r="F234" t="s">
        <v>207</v>
      </c>
      <c r="G234" t="s">
        <v>208</v>
      </c>
      <c r="H234">
        <v>8795</v>
      </c>
      <c r="I234" t="s">
        <v>209</v>
      </c>
      <c r="J234" t="s">
        <v>210</v>
      </c>
      <c r="K234" t="s">
        <v>211</v>
      </c>
    </row>
    <row r="235" spans="1:11" x14ac:dyDescent="0.3">
      <c r="A235" t="s">
        <v>159</v>
      </c>
      <c r="B235" t="s">
        <v>20</v>
      </c>
      <c r="C235" t="s">
        <v>151</v>
      </c>
      <c r="D235" t="s">
        <v>160</v>
      </c>
      <c r="E235">
        <v>2020</v>
      </c>
      <c r="F235" t="s">
        <v>207</v>
      </c>
      <c r="G235" t="s">
        <v>208</v>
      </c>
      <c r="H235">
        <v>11381</v>
      </c>
      <c r="I235" t="s">
        <v>209</v>
      </c>
      <c r="J235" t="s">
        <v>210</v>
      </c>
      <c r="K235" t="s">
        <v>211</v>
      </c>
    </row>
    <row r="236" spans="1:11" x14ac:dyDescent="0.3">
      <c r="A236" t="s">
        <v>161</v>
      </c>
      <c r="B236" t="s">
        <v>20</v>
      </c>
      <c r="C236" t="s">
        <v>151</v>
      </c>
      <c r="D236" t="s">
        <v>162</v>
      </c>
      <c r="E236">
        <v>2020</v>
      </c>
      <c r="F236" t="s">
        <v>207</v>
      </c>
      <c r="G236" t="s">
        <v>208</v>
      </c>
      <c r="H236">
        <v>14881</v>
      </c>
      <c r="I236" t="s">
        <v>209</v>
      </c>
      <c r="J236" t="s">
        <v>210</v>
      </c>
      <c r="K236" t="s">
        <v>211</v>
      </c>
    </row>
    <row r="237" spans="1:11" x14ac:dyDescent="0.3">
      <c r="A237" t="s">
        <v>163</v>
      </c>
      <c r="B237" t="s">
        <v>20</v>
      </c>
      <c r="C237" t="s">
        <v>151</v>
      </c>
      <c r="D237" t="s">
        <v>164</v>
      </c>
      <c r="E237">
        <v>2020</v>
      </c>
      <c r="F237" t="s">
        <v>207</v>
      </c>
      <c r="G237" t="s">
        <v>208</v>
      </c>
      <c r="H237">
        <v>9904</v>
      </c>
      <c r="I237" t="s">
        <v>209</v>
      </c>
      <c r="J237" t="s">
        <v>210</v>
      </c>
      <c r="K237" t="s">
        <v>211</v>
      </c>
    </row>
    <row r="238" spans="1:11" x14ac:dyDescent="0.3">
      <c r="A238" t="s">
        <v>165</v>
      </c>
      <c r="B238" t="s">
        <v>20</v>
      </c>
      <c r="C238" t="s">
        <v>151</v>
      </c>
      <c r="D238" t="s">
        <v>166</v>
      </c>
      <c r="E238">
        <v>2020</v>
      </c>
      <c r="F238" t="s">
        <v>207</v>
      </c>
      <c r="G238" t="s">
        <v>208</v>
      </c>
      <c r="H238">
        <v>14367</v>
      </c>
      <c r="I238" t="s">
        <v>209</v>
      </c>
      <c r="J238" t="s">
        <v>210</v>
      </c>
      <c r="K238" t="s">
        <v>211</v>
      </c>
    </row>
    <row r="239" spans="1:11" x14ac:dyDescent="0.3">
      <c r="A239" t="s">
        <v>167</v>
      </c>
      <c r="B239" t="s">
        <v>20</v>
      </c>
      <c r="C239" t="s">
        <v>168</v>
      </c>
      <c r="D239" t="s">
        <v>169</v>
      </c>
      <c r="E239">
        <v>2020</v>
      </c>
      <c r="F239" t="s">
        <v>207</v>
      </c>
      <c r="G239" t="s">
        <v>208</v>
      </c>
      <c r="H239">
        <v>20368</v>
      </c>
      <c r="I239" t="s">
        <v>209</v>
      </c>
      <c r="J239" t="s">
        <v>210</v>
      </c>
      <c r="K239" t="s">
        <v>211</v>
      </c>
    </row>
    <row r="240" spans="1:11" x14ac:dyDescent="0.3">
      <c r="A240" t="s">
        <v>170</v>
      </c>
      <c r="B240" t="s">
        <v>20</v>
      </c>
      <c r="C240" t="s">
        <v>168</v>
      </c>
      <c r="D240" t="s">
        <v>171</v>
      </c>
      <c r="E240">
        <v>2020</v>
      </c>
      <c r="F240" t="s">
        <v>207</v>
      </c>
      <c r="G240" t="s">
        <v>208</v>
      </c>
      <c r="H240">
        <v>4995</v>
      </c>
      <c r="I240" t="s">
        <v>209</v>
      </c>
      <c r="J240" t="s">
        <v>210</v>
      </c>
      <c r="K240" t="s">
        <v>211</v>
      </c>
    </row>
    <row r="241" spans="1:11" x14ac:dyDescent="0.3">
      <c r="A241" t="s">
        <v>172</v>
      </c>
      <c r="B241" t="s">
        <v>20</v>
      </c>
      <c r="C241" t="s">
        <v>168</v>
      </c>
      <c r="D241" t="s">
        <v>173</v>
      </c>
      <c r="E241">
        <v>2020</v>
      </c>
      <c r="F241" t="s">
        <v>207</v>
      </c>
      <c r="G241" t="s">
        <v>208</v>
      </c>
      <c r="H241">
        <v>5789</v>
      </c>
      <c r="I241" t="s">
        <v>209</v>
      </c>
      <c r="J241" t="s">
        <v>210</v>
      </c>
      <c r="K241" t="s">
        <v>211</v>
      </c>
    </row>
    <row r="242" spans="1:11" x14ac:dyDescent="0.3">
      <c r="A242" t="s">
        <v>174</v>
      </c>
      <c r="B242" t="s">
        <v>20</v>
      </c>
      <c r="C242" t="s">
        <v>168</v>
      </c>
      <c r="D242" t="s">
        <v>175</v>
      </c>
      <c r="E242">
        <v>2020</v>
      </c>
      <c r="F242" t="s">
        <v>207</v>
      </c>
      <c r="G242" t="s">
        <v>208</v>
      </c>
      <c r="H242">
        <v>1846</v>
      </c>
      <c r="I242" t="s">
        <v>209</v>
      </c>
      <c r="J242" t="s">
        <v>210</v>
      </c>
      <c r="K242" t="s">
        <v>211</v>
      </c>
    </row>
    <row r="243" spans="1:11" x14ac:dyDescent="0.3">
      <c r="A243" t="s">
        <v>176</v>
      </c>
      <c r="B243" t="s">
        <v>20</v>
      </c>
      <c r="C243" t="s">
        <v>168</v>
      </c>
      <c r="D243" t="s">
        <v>177</v>
      </c>
      <c r="E243">
        <v>2020</v>
      </c>
      <c r="F243" t="s">
        <v>207</v>
      </c>
      <c r="G243" t="s">
        <v>208</v>
      </c>
      <c r="H243">
        <v>2441</v>
      </c>
      <c r="I243" t="s">
        <v>209</v>
      </c>
      <c r="J243" t="s">
        <v>210</v>
      </c>
      <c r="K243" t="s">
        <v>211</v>
      </c>
    </row>
    <row r="244" spans="1:11" x14ac:dyDescent="0.3">
      <c r="A244" t="s">
        <v>178</v>
      </c>
      <c r="B244" t="s">
        <v>20</v>
      </c>
      <c r="C244" t="s">
        <v>168</v>
      </c>
      <c r="D244" t="s">
        <v>179</v>
      </c>
      <c r="E244">
        <v>2020</v>
      </c>
      <c r="F244" t="s">
        <v>207</v>
      </c>
      <c r="G244" t="s">
        <v>208</v>
      </c>
      <c r="H244">
        <v>13703</v>
      </c>
      <c r="I244" t="s">
        <v>209</v>
      </c>
      <c r="J244" t="s">
        <v>210</v>
      </c>
      <c r="K244" t="s">
        <v>211</v>
      </c>
    </row>
    <row r="245" spans="1:11" x14ac:dyDescent="0.3">
      <c r="A245" t="s">
        <v>180</v>
      </c>
      <c r="B245" t="s">
        <v>20</v>
      </c>
      <c r="C245" t="s">
        <v>168</v>
      </c>
      <c r="D245" t="s">
        <v>181</v>
      </c>
      <c r="E245">
        <v>2020</v>
      </c>
      <c r="F245" t="s">
        <v>207</v>
      </c>
      <c r="G245" t="s">
        <v>208</v>
      </c>
      <c r="H245">
        <v>3049</v>
      </c>
      <c r="I245" t="s">
        <v>209</v>
      </c>
      <c r="J245" t="s">
        <v>210</v>
      </c>
      <c r="K245" t="s">
        <v>211</v>
      </c>
    </row>
    <row r="246" spans="1:11" x14ac:dyDescent="0.3">
      <c r="A246" t="s">
        <v>182</v>
      </c>
      <c r="B246" t="s">
        <v>20</v>
      </c>
      <c r="C246" t="s">
        <v>168</v>
      </c>
      <c r="D246" t="s">
        <v>183</v>
      </c>
      <c r="E246">
        <v>2020</v>
      </c>
      <c r="F246" t="s">
        <v>207</v>
      </c>
      <c r="G246" t="s">
        <v>208</v>
      </c>
      <c r="H246">
        <v>3677</v>
      </c>
      <c r="I246" t="s">
        <v>209</v>
      </c>
      <c r="J246" t="s">
        <v>210</v>
      </c>
      <c r="K246" t="s">
        <v>211</v>
      </c>
    </row>
    <row r="247" spans="1:11" x14ac:dyDescent="0.3">
      <c r="A247" t="s">
        <v>184</v>
      </c>
      <c r="B247" t="s">
        <v>20</v>
      </c>
      <c r="C247" t="s">
        <v>185</v>
      </c>
      <c r="D247" t="s">
        <v>186</v>
      </c>
      <c r="E247">
        <v>2020</v>
      </c>
      <c r="F247" t="s">
        <v>207</v>
      </c>
      <c r="G247" t="s">
        <v>208</v>
      </c>
      <c r="H247">
        <v>14344</v>
      </c>
      <c r="I247" t="s">
        <v>209</v>
      </c>
      <c r="J247" t="s">
        <v>210</v>
      </c>
      <c r="K247" t="s">
        <v>211</v>
      </c>
    </row>
    <row r="248" spans="1:11" x14ac:dyDescent="0.3">
      <c r="A248" t="s">
        <v>187</v>
      </c>
      <c r="B248" t="s">
        <v>20</v>
      </c>
      <c r="C248" t="s">
        <v>185</v>
      </c>
      <c r="D248" t="s">
        <v>188</v>
      </c>
      <c r="E248">
        <v>2020</v>
      </c>
      <c r="F248" t="s">
        <v>207</v>
      </c>
      <c r="G248" t="s">
        <v>208</v>
      </c>
      <c r="H248">
        <v>4866</v>
      </c>
      <c r="I248" t="s">
        <v>209</v>
      </c>
      <c r="J248" t="s">
        <v>210</v>
      </c>
      <c r="K248" t="s">
        <v>211</v>
      </c>
    </row>
    <row r="249" spans="1:11" x14ac:dyDescent="0.3">
      <c r="A249" t="s">
        <v>189</v>
      </c>
      <c r="B249" t="s">
        <v>20</v>
      </c>
      <c r="C249" t="s">
        <v>185</v>
      </c>
      <c r="D249" t="s">
        <v>190</v>
      </c>
      <c r="E249">
        <v>2020</v>
      </c>
      <c r="F249" t="s">
        <v>207</v>
      </c>
      <c r="G249" t="s">
        <v>208</v>
      </c>
      <c r="H249">
        <v>2566</v>
      </c>
      <c r="I249" t="s">
        <v>209</v>
      </c>
      <c r="J249" t="s">
        <v>210</v>
      </c>
      <c r="K249" t="s">
        <v>211</v>
      </c>
    </row>
    <row r="250" spans="1:11" x14ac:dyDescent="0.3">
      <c r="A250" t="s">
        <v>191</v>
      </c>
      <c r="B250" t="s">
        <v>20</v>
      </c>
      <c r="C250" t="s">
        <v>185</v>
      </c>
      <c r="D250" t="s">
        <v>192</v>
      </c>
      <c r="E250">
        <v>2020</v>
      </c>
      <c r="F250" t="s">
        <v>207</v>
      </c>
      <c r="G250" t="s">
        <v>208</v>
      </c>
      <c r="H250">
        <v>6514</v>
      </c>
      <c r="I250" t="s">
        <v>209</v>
      </c>
      <c r="J250" t="s">
        <v>210</v>
      </c>
      <c r="K250" t="s">
        <v>211</v>
      </c>
    </row>
    <row r="251" spans="1:11" x14ac:dyDescent="0.3">
      <c r="A251" t="s">
        <v>193</v>
      </c>
      <c r="B251" t="s">
        <v>20</v>
      </c>
      <c r="C251" t="s">
        <v>194</v>
      </c>
      <c r="D251" t="s">
        <v>195</v>
      </c>
      <c r="E251">
        <v>2020</v>
      </c>
      <c r="F251" t="s">
        <v>207</v>
      </c>
      <c r="G251" t="s">
        <v>208</v>
      </c>
      <c r="H251">
        <v>58418</v>
      </c>
      <c r="I251" t="s">
        <v>209</v>
      </c>
      <c r="J251" t="s">
        <v>210</v>
      </c>
      <c r="K251" t="s">
        <v>211</v>
      </c>
    </row>
    <row r="252" spans="1:11" x14ac:dyDescent="0.3">
      <c r="A252" t="s">
        <v>196</v>
      </c>
      <c r="B252" t="s">
        <v>20</v>
      </c>
      <c r="C252" t="s">
        <v>194</v>
      </c>
      <c r="D252" t="s">
        <v>197</v>
      </c>
      <c r="E252">
        <v>2020</v>
      </c>
      <c r="F252" t="s">
        <v>207</v>
      </c>
      <c r="G252" t="s">
        <v>208</v>
      </c>
      <c r="H252">
        <v>39125</v>
      </c>
      <c r="I252" t="s">
        <v>209</v>
      </c>
      <c r="J252" t="s">
        <v>210</v>
      </c>
      <c r="K252" t="s">
        <v>211</v>
      </c>
    </row>
    <row r="253" spans="1:11" x14ac:dyDescent="0.3">
      <c r="A253" t="s">
        <v>198</v>
      </c>
      <c r="B253" t="s">
        <v>20</v>
      </c>
      <c r="C253" t="s">
        <v>194</v>
      </c>
      <c r="D253" t="s">
        <v>199</v>
      </c>
      <c r="E253">
        <v>2020</v>
      </c>
      <c r="F253" t="s">
        <v>207</v>
      </c>
      <c r="G253" t="s">
        <v>208</v>
      </c>
      <c r="H253">
        <v>7663</v>
      </c>
      <c r="I253" t="s">
        <v>209</v>
      </c>
      <c r="J253" t="s">
        <v>210</v>
      </c>
      <c r="K253" t="s">
        <v>211</v>
      </c>
    </row>
    <row r="254" spans="1:11" x14ac:dyDescent="0.3">
      <c r="A254" t="s">
        <v>19</v>
      </c>
      <c r="B254" t="s">
        <v>20</v>
      </c>
      <c r="C254" t="s">
        <v>21</v>
      </c>
      <c r="D254" t="s">
        <v>22</v>
      </c>
      <c r="E254">
        <v>2021</v>
      </c>
      <c r="F254" t="s">
        <v>207</v>
      </c>
      <c r="G254" t="s">
        <v>208</v>
      </c>
      <c r="H254">
        <v>347730</v>
      </c>
      <c r="I254" t="s">
        <v>209</v>
      </c>
      <c r="J254" t="s">
        <v>210</v>
      </c>
      <c r="K254" t="s">
        <v>211</v>
      </c>
    </row>
    <row r="255" spans="1:11" x14ac:dyDescent="0.3">
      <c r="A255" t="s">
        <v>23</v>
      </c>
      <c r="B255" t="s">
        <v>20</v>
      </c>
      <c r="C255" t="s">
        <v>21</v>
      </c>
      <c r="D255" t="s">
        <v>24</v>
      </c>
      <c r="E255">
        <v>2021</v>
      </c>
      <c r="F255" t="s">
        <v>207</v>
      </c>
      <c r="G255" t="s">
        <v>208</v>
      </c>
      <c r="H255">
        <v>235832</v>
      </c>
      <c r="I255" t="s">
        <v>209</v>
      </c>
      <c r="J255" t="s">
        <v>210</v>
      </c>
      <c r="K255" t="s">
        <v>211</v>
      </c>
    </row>
    <row r="256" spans="1:11" x14ac:dyDescent="0.3">
      <c r="A256" t="s">
        <v>25</v>
      </c>
      <c r="B256" t="s">
        <v>20</v>
      </c>
      <c r="C256" t="s">
        <v>21</v>
      </c>
      <c r="D256" t="s">
        <v>26</v>
      </c>
      <c r="E256">
        <v>2021</v>
      </c>
      <c r="F256" t="s">
        <v>207</v>
      </c>
      <c r="G256" t="s">
        <v>208</v>
      </c>
      <c r="H256">
        <v>38107</v>
      </c>
      <c r="I256" t="s">
        <v>209</v>
      </c>
      <c r="J256" t="s">
        <v>210</v>
      </c>
      <c r="K256" t="s">
        <v>211</v>
      </c>
    </row>
    <row r="257" spans="1:11" x14ac:dyDescent="0.3">
      <c r="A257" t="s">
        <v>27</v>
      </c>
      <c r="B257" t="s">
        <v>20</v>
      </c>
      <c r="C257" t="s">
        <v>21</v>
      </c>
      <c r="D257" t="s">
        <v>28</v>
      </c>
      <c r="E257">
        <v>2021</v>
      </c>
      <c r="F257" t="s">
        <v>207</v>
      </c>
      <c r="G257" t="s">
        <v>208</v>
      </c>
      <c r="H257">
        <v>90609</v>
      </c>
      <c r="I257" t="s">
        <v>209</v>
      </c>
      <c r="J257" t="s">
        <v>210</v>
      </c>
      <c r="K257" t="s">
        <v>211</v>
      </c>
    </row>
    <row r="258" spans="1:11" x14ac:dyDescent="0.3">
      <c r="A258" t="s">
        <v>29</v>
      </c>
      <c r="B258" t="s">
        <v>20</v>
      </c>
      <c r="C258" t="s">
        <v>21</v>
      </c>
      <c r="D258" t="s">
        <v>30</v>
      </c>
      <c r="E258">
        <v>2021</v>
      </c>
      <c r="F258" t="s">
        <v>207</v>
      </c>
      <c r="G258" t="s">
        <v>208</v>
      </c>
      <c r="H258">
        <v>229779</v>
      </c>
      <c r="I258" t="s">
        <v>209</v>
      </c>
      <c r="J258" t="s">
        <v>210</v>
      </c>
      <c r="K258" t="s">
        <v>211</v>
      </c>
    </row>
    <row r="259" spans="1:11" x14ac:dyDescent="0.3">
      <c r="A259" t="s">
        <v>31</v>
      </c>
      <c r="B259" t="s">
        <v>20</v>
      </c>
      <c r="C259" t="s">
        <v>21</v>
      </c>
      <c r="D259" t="s">
        <v>32</v>
      </c>
      <c r="E259">
        <v>2021</v>
      </c>
      <c r="F259" t="s">
        <v>207</v>
      </c>
      <c r="G259" t="s">
        <v>208</v>
      </c>
      <c r="H259">
        <v>43750</v>
      </c>
      <c r="I259" t="s">
        <v>209</v>
      </c>
      <c r="J259" t="s">
        <v>210</v>
      </c>
      <c r="K259" t="s">
        <v>211</v>
      </c>
    </row>
    <row r="260" spans="1:11" x14ac:dyDescent="0.3">
      <c r="A260" t="s">
        <v>33</v>
      </c>
      <c r="B260" t="s">
        <v>20</v>
      </c>
      <c r="C260" t="s">
        <v>21</v>
      </c>
      <c r="D260" t="s">
        <v>34</v>
      </c>
      <c r="E260">
        <v>2021</v>
      </c>
      <c r="F260" t="s">
        <v>207</v>
      </c>
      <c r="G260" t="s">
        <v>208</v>
      </c>
      <c r="H260">
        <v>43755</v>
      </c>
      <c r="I260" t="s">
        <v>209</v>
      </c>
      <c r="J260" t="s">
        <v>210</v>
      </c>
      <c r="K260" t="s">
        <v>211</v>
      </c>
    </row>
    <row r="261" spans="1:11" x14ac:dyDescent="0.3">
      <c r="A261" t="s">
        <v>35</v>
      </c>
      <c r="B261" t="s">
        <v>20</v>
      </c>
      <c r="C261" t="s">
        <v>21</v>
      </c>
      <c r="D261" t="s">
        <v>36</v>
      </c>
      <c r="E261">
        <v>2021</v>
      </c>
      <c r="F261" t="s">
        <v>207</v>
      </c>
      <c r="G261" t="s">
        <v>208</v>
      </c>
      <c r="H261">
        <v>3947</v>
      </c>
      <c r="I261" t="s">
        <v>209</v>
      </c>
      <c r="J261" t="s">
        <v>210</v>
      </c>
      <c r="K261" t="s">
        <v>211</v>
      </c>
    </row>
    <row r="262" spans="1:11" x14ac:dyDescent="0.3">
      <c r="A262" t="s">
        <v>37</v>
      </c>
      <c r="B262" t="s">
        <v>20</v>
      </c>
      <c r="C262" t="s">
        <v>21</v>
      </c>
      <c r="D262" t="s">
        <v>38</v>
      </c>
      <c r="E262">
        <v>2021</v>
      </c>
      <c r="F262" t="s">
        <v>207</v>
      </c>
      <c r="G262" t="s">
        <v>208</v>
      </c>
      <c r="H262">
        <v>23390</v>
      </c>
      <c r="I262" t="s">
        <v>209</v>
      </c>
      <c r="J262" t="s">
        <v>210</v>
      </c>
      <c r="K262" t="s">
        <v>211</v>
      </c>
    </row>
    <row r="263" spans="1:11" x14ac:dyDescent="0.3">
      <c r="A263" t="s">
        <v>39</v>
      </c>
      <c r="B263" t="s">
        <v>20</v>
      </c>
      <c r="C263" t="s">
        <v>21</v>
      </c>
      <c r="D263" t="s">
        <v>40</v>
      </c>
      <c r="E263">
        <v>2021</v>
      </c>
      <c r="F263" t="s">
        <v>207</v>
      </c>
      <c r="G263" t="s">
        <v>208</v>
      </c>
      <c r="H263">
        <v>4546</v>
      </c>
      <c r="I263" t="s">
        <v>209</v>
      </c>
      <c r="J263" t="s">
        <v>210</v>
      </c>
      <c r="K263" t="s">
        <v>211</v>
      </c>
    </row>
    <row r="264" spans="1:11" x14ac:dyDescent="0.3">
      <c r="A264" t="s">
        <v>41</v>
      </c>
      <c r="B264" t="s">
        <v>20</v>
      </c>
      <c r="C264" t="s">
        <v>21</v>
      </c>
      <c r="D264" t="s">
        <v>42</v>
      </c>
      <c r="E264">
        <v>2021</v>
      </c>
      <c r="F264" t="s">
        <v>207</v>
      </c>
      <c r="G264" t="s">
        <v>208</v>
      </c>
      <c r="H264">
        <v>79941</v>
      </c>
      <c r="I264" t="s">
        <v>209</v>
      </c>
      <c r="J264" t="s">
        <v>210</v>
      </c>
      <c r="K264" t="s">
        <v>211</v>
      </c>
    </row>
    <row r="265" spans="1:11" x14ac:dyDescent="0.3">
      <c r="A265" t="s">
        <v>43</v>
      </c>
      <c r="B265" t="s">
        <v>20</v>
      </c>
      <c r="C265" t="s">
        <v>21</v>
      </c>
      <c r="D265" t="s">
        <v>44</v>
      </c>
      <c r="E265">
        <v>2021</v>
      </c>
      <c r="F265" t="s">
        <v>207</v>
      </c>
      <c r="G265" t="s">
        <v>208</v>
      </c>
      <c r="I265" t="s">
        <v>209</v>
      </c>
      <c r="J265" t="s">
        <v>210</v>
      </c>
      <c r="K265" t="s">
        <v>211</v>
      </c>
    </row>
    <row r="266" spans="1:11" x14ac:dyDescent="0.3">
      <c r="A266" t="s">
        <v>45</v>
      </c>
      <c r="B266" t="s">
        <v>20</v>
      </c>
      <c r="C266" t="s">
        <v>46</v>
      </c>
      <c r="D266" t="s">
        <v>47</v>
      </c>
      <c r="E266">
        <v>2021</v>
      </c>
      <c r="F266" t="s">
        <v>207</v>
      </c>
      <c r="G266" t="s">
        <v>208</v>
      </c>
      <c r="H266">
        <v>6866</v>
      </c>
      <c r="I266" t="s">
        <v>209</v>
      </c>
      <c r="J266" t="s">
        <v>210</v>
      </c>
      <c r="K266" t="s">
        <v>211</v>
      </c>
    </row>
    <row r="267" spans="1:11" x14ac:dyDescent="0.3">
      <c r="A267" t="s">
        <v>48</v>
      </c>
      <c r="B267" t="s">
        <v>20</v>
      </c>
      <c r="C267" t="s">
        <v>46</v>
      </c>
      <c r="D267" t="s">
        <v>49</v>
      </c>
      <c r="E267">
        <v>2021</v>
      </c>
      <c r="F267" t="s">
        <v>207</v>
      </c>
      <c r="G267" t="s">
        <v>208</v>
      </c>
      <c r="H267">
        <v>16135</v>
      </c>
      <c r="I267" t="s">
        <v>209</v>
      </c>
      <c r="J267" t="s">
        <v>210</v>
      </c>
      <c r="K267" t="s">
        <v>211</v>
      </c>
    </row>
    <row r="268" spans="1:11" x14ac:dyDescent="0.3">
      <c r="A268" t="s">
        <v>50</v>
      </c>
      <c r="B268" t="s">
        <v>20</v>
      </c>
      <c r="C268" t="s">
        <v>46</v>
      </c>
      <c r="D268" t="s">
        <v>51</v>
      </c>
      <c r="E268">
        <v>2021</v>
      </c>
      <c r="F268" t="s">
        <v>207</v>
      </c>
      <c r="G268" t="s">
        <v>208</v>
      </c>
      <c r="H268">
        <v>9815</v>
      </c>
      <c r="I268" t="s">
        <v>209</v>
      </c>
      <c r="J268" t="s">
        <v>210</v>
      </c>
      <c r="K268" t="s">
        <v>211</v>
      </c>
    </row>
    <row r="269" spans="1:11" x14ac:dyDescent="0.3">
      <c r="A269" t="s">
        <v>52</v>
      </c>
      <c r="B269" t="s">
        <v>20</v>
      </c>
      <c r="C269" t="s">
        <v>46</v>
      </c>
      <c r="D269" t="s">
        <v>53</v>
      </c>
      <c r="E269">
        <v>2021</v>
      </c>
      <c r="F269" t="s">
        <v>207</v>
      </c>
      <c r="G269" t="s">
        <v>208</v>
      </c>
      <c r="H269">
        <v>2664</v>
      </c>
      <c r="I269" t="s">
        <v>209</v>
      </c>
      <c r="J269" t="s">
        <v>210</v>
      </c>
      <c r="K269" t="s">
        <v>211</v>
      </c>
    </row>
    <row r="270" spans="1:11" x14ac:dyDescent="0.3">
      <c r="A270" t="s">
        <v>54</v>
      </c>
      <c r="B270" t="s">
        <v>20</v>
      </c>
      <c r="C270" t="s">
        <v>46</v>
      </c>
      <c r="D270" t="s">
        <v>55</v>
      </c>
      <c r="E270">
        <v>2021</v>
      </c>
      <c r="F270" t="s">
        <v>207</v>
      </c>
      <c r="G270" t="s">
        <v>208</v>
      </c>
      <c r="H270">
        <v>29370</v>
      </c>
      <c r="I270" t="s">
        <v>209</v>
      </c>
      <c r="J270" t="s">
        <v>210</v>
      </c>
      <c r="K270" t="s">
        <v>211</v>
      </c>
    </row>
    <row r="271" spans="1:11" x14ac:dyDescent="0.3">
      <c r="A271" t="s">
        <v>56</v>
      </c>
      <c r="B271" t="s">
        <v>20</v>
      </c>
      <c r="C271" t="s">
        <v>46</v>
      </c>
      <c r="D271" t="s">
        <v>57</v>
      </c>
      <c r="E271">
        <v>2021</v>
      </c>
      <c r="F271" t="s">
        <v>207</v>
      </c>
      <c r="G271" t="s">
        <v>208</v>
      </c>
      <c r="H271">
        <v>9500</v>
      </c>
      <c r="I271" t="s">
        <v>209</v>
      </c>
      <c r="J271" t="s">
        <v>210</v>
      </c>
      <c r="K271" t="s">
        <v>211</v>
      </c>
    </row>
    <row r="272" spans="1:11" x14ac:dyDescent="0.3">
      <c r="A272" t="s">
        <v>58</v>
      </c>
      <c r="B272" t="s">
        <v>20</v>
      </c>
      <c r="C272" t="s">
        <v>46</v>
      </c>
      <c r="D272" t="s">
        <v>59</v>
      </c>
      <c r="E272">
        <v>2021</v>
      </c>
      <c r="F272" t="s">
        <v>207</v>
      </c>
      <c r="G272" t="s">
        <v>208</v>
      </c>
      <c r="H272">
        <v>20061</v>
      </c>
      <c r="I272" t="s">
        <v>209</v>
      </c>
      <c r="J272" t="s">
        <v>210</v>
      </c>
      <c r="K272" t="s">
        <v>211</v>
      </c>
    </row>
    <row r="273" spans="1:11" x14ac:dyDescent="0.3">
      <c r="A273" t="s">
        <v>60</v>
      </c>
      <c r="B273" t="s">
        <v>20</v>
      </c>
      <c r="C273" t="s">
        <v>46</v>
      </c>
      <c r="D273" t="s">
        <v>61</v>
      </c>
      <c r="E273">
        <v>2021</v>
      </c>
      <c r="F273" t="s">
        <v>207</v>
      </c>
      <c r="G273" t="s">
        <v>208</v>
      </c>
      <c r="H273">
        <v>29897</v>
      </c>
      <c r="I273" t="s">
        <v>209</v>
      </c>
      <c r="J273" t="s">
        <v>210</v>
      </c>
      <c r="K273" t="s">
        <v>211</v>
      </c>
    </row>
    <row r="274" spans="1:11" x14ac:dyDescent="0.3">
      <c r="A274" t="s">
        <v>62</v>
      </c>
      <c r="B274" t="s">
        <v>20</v>
      </c>
      <c r="C274" t="s">
        <v>63</v>
      </c>
      <c r="D274" t="s">
        <v>64</v>
      </c>
      <c r="E274">
        <v>2021</v>
      </c>
      <c r="F274" t="s">
        <v>207</v>
      </c>
      <c r="G274" t="s">
        <v>208</v>
      </c>
      <c r="H274">
        <v>5062</v>
      </c>
      <c r="I274" t="s">
        <v>209</v>
      </c>
      <c r="J274" t="s">
        <v>210</v>
      </c>
      <c r="K274" t="s">
        <v>211</v>
      </c>
    </row>
    <row r="275" spans="1:11" x14ac:dyDescent="0.3">
      <c r="A275" t="s">
        <v>65</v>
      </c>
      <c r="B275" t="s">
        <v>20</v>
      </c>
      <c r="C275" t="s">
        <v>63</v>
      </c>
      <c r="D275" t="s">
        <v>66</v>
      </c>
      <c r="E275">
        <v>2021</v>
      </c>
      <c r="F275" t="s">
        <v>207</v>
      </c>
      <c r="G275" t="s">
        <v>208</v>
      </c>
      <c r="H275">
        <v>3136</v>
      </c>
      <c r="I275" t="s">
        <v>209</v>
      </c>
      <c r="J275" t="s">
        <v>210</v>
      </c>
      <c r="K275" t="s">
        <v>211</v>
      </c>
    </row>
    <row r="276" spans="1:11" x14ac:dyDescent="0.3">
      <c r="A276" t="s">
        <v>67</v>
      </c>
      <c r="B276" t="s">
        <v>20</v>
      </c>
      <c r="C276" t="s">
        <v>63</v>
      </c>
      <c r="D276" t="s">
        <v>68</v>
      </c>
      <c r="E276">
        <v>2021</v>
      </c>
      <c r="F276" t="s">
        <v>207</v>
      </c>
      <c r="G276" t="s">
        <v>208</v>
      </c>
      <c r="H276">
        <v>2140</v>
      </c>
      <c r="I276" t="s">
        <v>209</v>
      </c>
      <c r="J276" t="s">
        <v>210</v>
      </c>
      <c r="K276" t="s">
        <v>211</v>
      </c>
    </row>
    <row r="277" spans="1:11" x14ac:dyDescent="0.3">
      <c r="A277" t="s">
        <v>69</v>
      </c>
      <c r="B277" t="s">
        <v>20</v>
      </c>
      <c r="C277" t="s">
        <v>63</v>
      </c>
      <c r="D277" t="s">
        <v>70</v>
      </c>
      <c r="E277">
        <v>2021</v>
      </c>
      <c r="F277" t="s">
        <v>207</v>
      </c>
      <c r="G277" t="s">
        <v>208</v>
      </c>
      <c r="H277">
        <v>2353</v>
      </c>
      <c r="I277" t="s">
        <v>209</v>
      </c>
      <c r="J277" t="s">
        <v>210</v>
      </c>
      <c r="K277" t="s">
        <v>211</v>
      </c>
    </row>
    <row r="278" spans="1:11" x14ac:dyDescent="0.3">
      <c r="A278" t="s">
        <v>71</v>
      </c>
      <c r="B278" t="s">
        <v>20</v>
      </c>
      <c r="C278" t="s">
        <v>63</v>
      </c>
      <c r="D278" t="s">
        <v>72</v>
      </c>
      <c r="E278">
        <v>2021</v>
      </c>
      <c r="F278" t="s">
        <v>207</v>
      </c>
      <c r="G278" t="s">
        <v>208</v>
      </c>
      <c r="H278">
        <v>2364</v>
      </c>
      <c r="I278" t="s">
        <v>209</v>
      </c>
      <c r="J278" t="s">
        <v>210</v>
      </c>
      <c r="K278" t="s">
        <v>211</v>
      </c>
    </row>
    <row r="279" spans="1:11" x14ac:dyDescent="0.3">
      <c r="A279" t="s">
        <v>73</v>
      </c>
      <c r="B279" t="s">
        <v>20</v>
      </c>
      <c r="C279" t="s">
        <v>63</v>
      </c>
      <c r="D279" t="s">
        <v>74</v>
      </c>
      <c r="E279">
        <v>2021</v>
      </c>
      <c r="F279" t="s">
        <v>207</v>
      </c>
      <c r="G279" t="s">
        <v>208</v>
      </c>
      <c r="H279">
        <v>902</v>
      </c>
      <c r="I279" t="s">
        <v>209</v>
      </c>
      <c r="J279" t="s">
        <v>210</v>
      </c>
      <c r="K279" t="s">
        <v>211</v>
      </c>
    </row>
    <row r="280" spans="1:11" x14ac:dyDescent="0.3">
      <c r="A280" t="s">
        <v>75</v>
      </c>
      <c r="B280" t="s">
        <v>20</v>
      </c>
      <c r="C280" t="s">
        <v>76</v>
      </c>
      <c r="D280" t="s">
        <v>77</v>
      </c>
      <c r="E280">
        <v>2021</v>
      </c>
      <c r="F280" t="s">
        <v>207</v>
      </c>
      <c r="G280" t="s">
        <v>208</v>
      </c>
      <c r="H280">
        <v>49231</v>
      </c>
      <c r="I280" t="s">
        <v>209</v>
      </c>
      <c r="J280" t="s">
        <v>210</v>
      </c>
      <c r="K280" t="s">
        <v>211</v>
      </c>
    </row>
    <row r="281" spans="1:11" x14ac:dyDescent="0.3">
      <c r="A281" t="s">
        <v>78</v>
      </c>
      <c r="B281" t="s">
        <v>20</v>
      </c>
      <c r="C281" t="s">
        <v>76</v>
      </c>
      <c r="D281" t="s">
        <v>79</v>
      </c>
      <c r="E281">
        <v>2021</v>
      </c>
      <c r="F281" t="s">
        <v>207</v>
      </c>
      <c r="G281" t="s">
        <v>208</v>
      </c>
      <c r="H281">
        <v>25318</v>
      </c>
      <c r="I281" t="s">
        <v>209</v>
      </c>
      <c r="J281" t="s">
        <v>210</v>
      </c>
      <c r="K281" t="s">
        <v>211</v>
      </c>
    </row>
    <row r="282" spans="1:11" x14ac:dyDescent="0.3">
      <c r="A282" t="s">
        <v>80</v>
      </c>
      <c r="B282" t="s">
        <v>20</v>
      </c>
      <c r="C282" t="s">
        <v>76</v>
      </c>
      <c r="D282" t="s">
        <v>81</v>
      </c>
      <c r="E282">
        <v>2021</v>
      </c>
      <c r="F282" t="s">
        <v>207</v>
      </c>
      <c r="G282" t="s">
        <v>208</v>
      </c>
      <c r="H282">
        <v>12816</v>
      </c>
      <c r="I282" t="s">
        <v>209</v>
      </c>
      <c r="J282" t="s">
        <v>210</v>
      </c>
      <c r="K282" t="s">
        <v>211</v>
      </c>
    </row>
    <row r="283" spans="1:11" x14ac:dyDescent="0.3">
      <c r="A283" t="s">
        <v>82</v>
      </c>
      <c r="B283" t="s">
        <v>20</v>
      </c>
      <c r="C283" t="s">
        <v>83</v>
      </c>
      <c r="D283" t="s">
        <v>84</v>
      </c>
      <c r="E283">
        <v>2021</v>
      </c>
      <c r="F283" t="s">
        <v>207</v>
      </c>
      <c r="G283" t="s">
        <v>208</v>
      </c>
      <c r="H283">
        <v>12788</v>
      </c>
      <c r="I283" t="s">
        <v>209</v>
      </c>
      <c r="J283" t="s">
        <v>210</v>
      </c>
      <c r="K283" t="s">
        <v>211</v>
      </c>
    </row>
    <row r="284" spans="1:11" x14ac:dyDescent="0.3">
      <c r="A284" t="s">
        <v>85</v>
      </c>
      <c r="B284" t="s">
        <v>20</v>
      </c>
      <c r="C284" t="s">
        <v>83</v>
      </c>
      <c r="D284" t="s">
        <v>86</v>
      </c>
      <c r="E284">
        <v>2021</v>
      </c>
      <c r="F284" t="s">
        <v>207</v>
      </c>
      <c r="G284" t="s">
        <v>208</v>
      </c>
      <c r="H284">
        <v>4990</v>
      </c>
      <c r="I284" t="s">
        <v>209</v>
      </c>
      <c r="J284" t="s">
        <v>210</v>
      </c>
      <c r="K284" t="s">
        <v>211</v>
      </c>
    </row>
    <row r="285" spans="1:11" x14ac:dyDescent="0.3">
      <c r="A285" t="s">
        <v>87</v>
      </c>
      <c r="B285" t="s">
        <v>20</v>
      </c>
      <c r="C285" t="s">
        <v>83</v>
      </c>
      <c r="D285" t="s">
        <v>88</v>
      </c>
      <c r="E285">
        <v>2021</v>
      </c>
      <c r="F285" t="s">
        <v>207</v>
      </c>
      <c r="G285" t="s">
        <v>208</v>
      </c>
      <c r="H285">
        <v>6926</v>
      </c>
      <c r="I285" t="s">
        <v>209</v>
      </c>
      <c r="J285" t="s">
        <v>210</v>
      </c>
      <c r="K285" t="s">
        <v>211</v>
      </c>
    </row>
    <row r="286" spans="1:11" x14ac:dyDescent="0.3">
      <c r="A286" t="s">
        <v>89</v>
      </c>
      <c r="B286" t="s">
        <v>20</v>
      </c>
      <c r="C286" t="s">
        <v>83</v>
      </c>
      <c r="D286" t="s">
        <v>90</v>
      </c>
      <c r="E286">
        <v>2021</v>
      </c>
      <c r="F286" t="s">
        <v>207</v>
      </c>
      <c r="G286" t="s">
        <v>208</v>
      </c>
      <c r="H286">
        <v>6247</v>
      </c>
      <c r="I286" t="s">
        <v>209</v>
      </c>
      <c r="J286" t="s">
        <v>210</v>
      </c>
      <c r="K286" t="s">
        <v>211</v>
      </c>
    </row>
    <row r="287" spans="1:11" x14ac:dyDescent="0.3">
      <c r="A287" t="s">
        <v>91</v>
      </c>
      <c r="B287" t="s">
        <v>20</v>
      </c>
      <c r="C287" t="s">
        <v>92</v>
      </c>
      <c r="D287" t="s">
        <v>93</v>
      </c>
      <c r="E287">
        <v>2021</v>
      </c>
      <c r="F287" t="s">
        <v>207</v>
      </c>
      <c r="G287" t="s">
        <v>208</v>
      </c>
      <c r="H287">
        <v>27030</v>
      </c>
      <c r="I287" t="s">
        <v>209</v>
      </c>
      <c r="J287" t="s">
        <v>210</v>
      </c>
      <c r="K287" t="s">
        <v>211</v>
      </c>
    </row>
    <row r="288" spans="1:11" x14ac:dyDescent="0.3">
      <c r="A288" t="s">
        <v>94</v>
      </c>
      <c r="B288" t="s">
        <v>20</v>
      </c>
      <c r="C288" t="s">
        <v>92</v>
      </c>
      <c r="D288" t="s">
        <v>95</v>
      </c>
      <c r="E288">
        <v>2021</v>
      </c>
      <c r="F288" t="s">
        <v>207</v>
      </c>
      <c r="G288" t="s">
        <v>208</v>
      </c>
      <c r="H288">
        <v>10482</v>
      </c>
      <c r="I288" t="s">
        <v>209</v>
      </c>
      <c r="J288" t="s">
        <v>210</v>
      </c>
      <c r="K288" t="s">
        <v>211</v>
      </c>
    </row>
    <row r="289" spans="1:11" x14ac:dyDescent="0.3">
      <c r="A289" t="s">
        <v>96</v>
      </c>
      <c r="B289" t="s">
        <v>20</v>
      </c>
      <c r="C289" t="s">
        <v>92</v>
      </c>
      <c r="D289" t="s">
        <v>97</v>
      </c>
      <c r="E289">
        <v>2021</v>
      </c>
      <c r="F289" t="s">
        <v>207</v>
      </c>
      <c r="G289" t="s">
        <v>208</v>
      </c>
      <c r="H289">
        <v>2545</v>
      </c>
      <c r="I289" t="s">
        <v>209</v>
      </c>
      <c r="J289" t="s">
        <v>210</v>
      </c>
      <c r="K289" t="s">
        <v>211</v>
      </c>
    </row>
    <row r="290" spans="1:11" x14ac:dyDescent="0.3">
      <c r="A290" t="s">
        <v>98</v>
      </c>
      <c r="B290" t="s">
        <v>20</v>
      </c>
      <c r="C290" t="s">
        <v>92</v>
      </c>
      <c r="D290" t="s">
        <v>99</v>
      </c>
      <c r="E290">
        <v>2021</v>
      </c>
      <c r="F290" t="s">
        <v>207</v>
      </c>
      <c r="G290" t="s">
        <v>208</v>
      </c>
      <c r="H290">
        <v>4065</v>
      </c>
      <c r="I290" t="s">
        <v>209</v>
      </c>
      <c r="J290" t="s">
        <v>210</v>
      </c>
      <c r="K290" t="s">
        <v>211</v>
      </c>
    </row>
    <row r="291" spans="1:11" x14ac:dyDescent="0.3">
      <c r="A291" t="s">
        <v>100</v>
      </c>
      <c r="B291" t="s">
        <v>20</v>
      </c>
      <c r="C291" t="s">
        <v>92</v>
      </c>
      <c r="D291" t="s">
        <v>101</v>
      </c>
      <c r="E291">
        <v>2021</v>
      </c>
      <c r="F291" t="s">
        <v>207</v>
      </c>
      <c r="G291" t="s">
        <v>208</v>
      </c>
      <c r="H291">
        <v>661</v>
      </c>
      <c r="I291" t="s">
        <v>209</v>
      </c>
      <c r="J291" t="s">
        <v>210</v>
      </c>
      <c r="K291" t="s">
        <v>211</v>
      </c>
    </row>
    <row r="292" spans="1:11" x14ac:dyDescent="0.3">
      <c r="A292" t="s">
        <v>102</v>
      </c>
      <c r="B292" t="s">
        <v>20</v>
      </c>
      <c r="C292" t="s">
        <v>92</v>
      </c>
      <c r="D292" t="s">
        <v>103</v>
      </c>
      <c r="E292">
        <v>2021</v>
      </c>
      <c r="F292" t="s">
        <v>207</v>
      </c>
      <c r="G292" t="s">
        <v>208</v>
      </c>
      <c r="H292">
        <v>2853</v>
      </c>
      <c r="I292" t="s">
        <v>209</v>
      </c>
      <c r="J292" t="s">
        <v>210</v>
      </c>
      <c r="K292" t="s">
        <v>211</v>
      </c>
    </row>
    <row r="293" spans="1:11" x14ac:dyDescent="0.3">
      <c r="A293" t="s">
        <v>104</v>
      </c>
      <c r="B293" t="s">
        <v>20</v>
      </c>
      <c r="C293" t="s">
        <v>92</v>
      </c>
      <c r="D293" t="s">
        <v>105</v>
      </c>
      <c r="E293">
        <v>2021</v>
      </c>
      <c r="F293" t="s">
        <v>207</v>
      </c>
      <c r="G293" t="s">
        <v>208</v>
      </c>
      <c r="H293">
        <v>536</v>
      </c>
      <c r="I293" t="s">
        <v>209</v>
      </c>
      <c r="J293" t="s">
        <v>210</v>
      </c>
      <c r="K293" t="s">
        <v>211</v>
      </c>
    </row>
    <row r="294" spans="1:11" x14ac:dyDescent="0.3">
      <c r="A294" t="s">
        <v>106</v>
      </c>
      <c r="B294" t="s">
        <v>20</v>
      </c>
      <c r="C294" t="s">
        <v>92</v>
      </c>
      <c r="D294" t="s">
        <v>107</v>
      </c>
      <c r="E294">
        <v>2021</v>
      </c>
      <c r="F294" t="s">
        <v>207</v>
      </c>
      <c r="G294" t="s">
        <v>208</v>
      </c>
      <c r="H294">
        <v>6571</v>
      </c>
      <c r="I294" t="s">
        <v>209</v>
      </c>
      <c r="J294" t="s">
        <v>210</v>
      </c>
      <c r="K294" t="s">
        <v>211</v>
      </c>
    </row>
    <row r="295" spans="1:11" x14ac:dyDescent="0.3">
      <c r="A295" t="s">
        <v>108</v>
      </c>
      <c r="B295" t="s">
        <v>20</v>
      </c>
      <c r="C295" t="s">
        <v>92</v>
      </c>
      <c r="D295" t="s">
        <v>109</v>
      </c>
      <c r="E295">
        <v>2021</v>
      </c>
      <c r="F295" t="s">
        <v>207</v>
      </c>
      <c r="G295" t="s">
        <v>208</v>
      </c>
      <c r="H295">
        <v>7509</v>
      </c>
      <c r="I295" t="s">
        <v>209</v>
      </c>
      <c r="J295" t="s">
        <v>210</v>
      </c>
      <c r="K295" t="s">
        <v>211</v>
      </c>
    </row>
    <row r="296" spans="1:11" x14ac:dyDescent="0.3">
      <c r="A296" t="s">
        <v>110</v>
      </c>
      <c r="B296" t="s">
        <v>20</v>
      </c>
      <c r="C296" t="s">
        <v>92</v>
      </c>
      <c r="D296" t="s">
        <v>111</v>
      </c>
      <c r="E296">
        <v>2021</v>
      </c>
      <c r="F296" t="s">
        <v>207</v>
      </c>
      <c r="G296" t="s">
        <v>208</v>
      </c>
      <c r="H296">
        <v>22824</v>
      </c>
      <c r="I296" t="s">
        <v>209</v>
      </c>
      <c r="J296" t="s">
        <v>210</v>
      </c>
      <c r="K296" t="s">
        <v>211</v>
      </c>
    </row>
    <row r="297" spans="1:11" x14ac:dyDescent="0.3">
      <c r="A297" t="s">
        <v>112</v>
      </c>
      <c r="B297" t="s">
        <v>20</v>
      </c>
      <c r="C297" t="s">
        <v>113</v>
      </c>
      <c r="D297" t="s">
        <v>114</v>
      </c>
      <c r="E297">
        <v>2021</v>
      </c>
      <c r="F297" t="s">
        <v>207</v>
      </c>
      <c r="G297" t="s">
        <v>208</v>
      </c>
      <c r="H297">
        <v>19647</v>
      </c>
      <c r="I297" t="s">
        <v>209</v>
      </c>
      <c r="J297" t="s">
        <v>210</v>
      </c>
      <c r="K297" t="s">
        <v>211</v>
      </c>
    </row>
    <row r="298" spans="1:11" x14ac:dyDescent="0.3">
      <c r="A298" t="s">
        <v>115</v>
      </c>
      <c r="B298" t="s">
        <v>20</v>
      </c>
      <c r="C298" t="s">
        <v>113</v>
      </c>
      <c r="D298" t="s">
        <v>116</v>
      </c>
      <c r="E298">
        <v>2021</v>
      </c>
      <c r="F298" t="s">
        <v>207</v>
      </c>
      <c r="G298" t="s">
        <v>208</v>
      </c>
      <c r="H298">
        <v>44710</v>
      </c>
      <c r="I298" t="s">
        <v>209</v>
      </c>
      <c r="J298" t="s">
        <v>210</v>
      </c>
      <c r="K298" t="s">
        <v>211</v>
      </c>
    </row>
    <row r="299" spans="1:11" x14ac:dyDescent="0.3">
      <c r="A299" t="s">
        <v>117</v>
      </c>
      <c r="B299" t="s">
        <v>20</v>
      </c>
      <c r="C299" t="s">
        <v>113</v>
      </c>
      <c r="D299" t="s">
        <v>118</v>
      </c>
      <c r="E299">
        <v>2021</v>
      </c>
      <c r="F299" t="s">
        <v>207</v>
      </c>
      <c r="G299" t="s">
        <v>208</v>
      </c>
      <c r="H299">
        <v>4708</v>
      </c>
      <c r="I299" t="s">
        <v>209</v>
      </c>
      <c r="J299" t="s">
        <v>210</v>
      </c>
      <c r="K299" t="s">
        <v>211</v>
      </c>
    </row>
    <row r="300" spans="1:11" x14ac:dyDescent="0.3">
      <c r="A300" t="s">
        <v>119</v>
      </c>
      <c r="B300" t="s">
        <v>20</v>
      </c>
      <c r="C300" t="s">
        <v>113</v>
      </c>
      <c r="D300" t="s">
        <v>120</v>
      </c>
      <c r="E300">
        <v>2021</v>
      </c>
      <c r="F300" t="s">
        <v>207</v>
      </c>
      <c r="G300" t="s">
        <v>208</v>
      </c>
      <c r="H300">
        <v>32691</v>
      </c>
      <c r="I300" t="s">
        <v>209</v>
      </c>
      <c r="J300" t="s">
        <v>210</v>
      </c>
      <c r="K300" t="s">
        <v>211</v>
      </c>
    </row>
    <row r="301" spans="1:11" x14ac:dyDescent="0.3">
      <c r="A301" t="s">
        <v>121</v>
      </c>
      <c r="B301" t="s">
        <v>20</v>
      </c>
      <c r="C301" t="s">
        <v>113</v>
      </c>
      <c r="D301" t="s">
        <v>122</v>
      </c>
      <c r="E301">
        <v>2021</v>
      </c>
      <c r="F301" t="s">
        <v>207</v>
      </c>
      <c r="G301" t="s">
        <v>208</v>
      </c>
      <c r="H301">
        <v>12825</v>
      </c>
      <c r="I301" t="s">
        <v>209</v>
      </c>
      <c r="J301" t="s">
        <v>210</v>
      </c>
      <c r="K301" t="s">
        <v>211</v>
      </c>
    </row>
    <row r="302" spans="1:11" x14ac:dyDescent="0.3">
      <c r="A302" t="s">
        <v>123</v>
      </c>
      <c r="B302" t="s">
        <v>20</v>
      </c>
      <c r="C302" t="s">
        <v>124</v>
      </c>
      <c r="D302" t="s">
        <v>125</v>
      </c>
      <c r="E302">
        <v>2021</v>
      </c>
      <c r="F302" t="s">
        <v>207</v>
      </c>
      <c r="G302" t="s">
        <v>208</v>
      </c>
      <c r="H302">
        <v>13855</v>
      </c>
      <c r="I302" t="s">
        <v>209</v>
      </c>
      <c r="J302" t="s">
        <v>210</v>
      </c>
      <c r="K302" t="s">
        <v>211</v>
      </c>
    </row>
    <row r="303" spans="1:11" x14ac:dyDescent="0.3">
      <c r="A303" t="s">
        <v>126</v>
      </c>
      <c r="B303" t="s">
        <v>20</v>
      </c>
      <c r="C303" t="s">
        <v>124</v>
      </c>
      <c r="D303" t="s">
        <v>127</v>
      </c>
      <c r="E303">
        <v>2021</v>
      </c>
      <c r="F303" t="s">
        <v>207</v>
      </c>
      <c r="G303" t="s">
        <v>208</v>
      </c>
      <c r="H303">
        <v>4264</v>
      </c>
      <c r="I303" t="s">
        <v>209</v>
      </c>
      <c r="J303" t="s">
        <v>210</v>
      </c>
      <c r="K303" t="s">
        <v>211</v>
      </c>
    </row>
    <row r="304" spans="1:11" x14ac:dyDescent="0.3">
      <c r="A304" t="s">
        <v>128</v>
      </c>
      <c r="B304" t="s">
        <v>20</v>
      </c>
      <c r="C304" t="s">
        <v>124</v>
      </c>
      <c r="D304" t="s">
        <v>129</v>
      </c>
      <c r="E304">
        <v>2021</v>
      </c>
      <c r="F304" t="s">
        <v>207</v>
      </c>
      <c r="G304" t="s">
        <v>208</v>
      </c>
      <c r="H304">
        <v>13135</v>
      </c>
      <c r="I304" t="s">
        <v>209</v>
      </c>
      <c r="J304" t="s">
        <v>210</v>
      </c>
      <c r="K304" t="s">
        <v>211</v>
      </c>
    </row>
    <row r="305" spans="1:11" x14ac:dyDescent="0.3">
      <c r="A305" t="s">
        <v>130</v>
      </c>
      <c r="B305" t="s">
        <v>20</v>
      </c>
      <c r="C305" t="s">
        <v>124</v>
      </c>
      <c r="D305" t="s">
        <v>131</v>
      </c>
      <c r="E305">
        <v>2021</v>
      </c>
      <c r="F305" t="s">
        <v>207</v>
      </c>
      <c r="G305" t="s">
        <v>208</v>
      </c>
      <c r="H305">
        <v>6130</v>
      </c>
      <c r="I305" t="s">
        <v>209</v>
      </c>
      <c r="J305" t="s">
        <v>210</v>
      </c>
      <c r="K305" t="s">
        <v>211</v>
      </c>
    </row>
    <row r="306" spans="1:11" x14ac:dyDescent="0.3">
      <c r="A306" t="s">
        <v>132</v>
      </c>
      <c r="B306" t="s">
        <v>20</v>
      </c>
      <c r="C306" t="s">
        <v>124</v>
      </c>
      <c r="D306" t="s">
        <v>133</v>
      </c>
      <c r="E306">
        <v>2021</v>
      </c>
      <c r="F306" t="s">
        <v>207</v>
      </c>
      <c r="G306" t="s">
        <v>208</v>
      </c>
      <c r="H306">
        <v>1070</v>
      </c>
      <c r="I306" t="s">
        <v>209</v>
      </c>
      <c r="J306" t="s">
        <v>210</v>
      </c>
      <c r="K306" t="s">
        <v>211</v>
      </c>
    </row>
    <row r="307" spans="1:11" x14ac:dyDescent="0.3">
      <c r="A307" t="s">
        <v>134</v>
      </c>
      <c r="B307" t="s">
        <v>20</v>
      </c>
      <c r="C307" t="s">
        <v>124</v>
      </c>
      <c r="D307" t="s">
        <v>135</v>
      </c>
      <c r="E307">
        <v>2021</v>
      </c>
      <c r="F307" t="s">
        <v>207</v>
      </c>
      <c r="G307" t="s">
        <v>208</v>
      </c>
      <c r="H307">
        <v>3736</v>
      </c>
      <c r="I307" t="s">
        <v>209</v>
      </c>
      <c r="J307" t="s">
        <v>210</v>
      </c>
      <c r="K307" t="s">
        <v>211</v>
      </c>
    </row>
    <row r="308" spans="1:11" x14ac:dyDescent="0.3">
      <c r="A308" t="s">
        <v>136</v>
      </c>
      <c r="B308" t="s">
        <v>20</v>
      </c>
      <c r="C308" t="s">
        <v>124</v>
      </c>
      <c r="D308" t="s">
        <v>137</v>
      </c>
      <c r="E308">
        <v>2021</v>
      </c>
      <c r="F308" t="s">
        <v>207</v>
      </c>
      <c r="G308" t="s">
        <v>208</v>
      </c>
      <c r="H308">
        <v>1337</v>
      </c>
      <c r="I308" t="s">
        <v>209</v>
      </c>
      <c r="J308" t="s">
        <v>210</v>
      </c>
      <c r="K308" t="s">
        <v>211</v>
      </c>
    </row>
    <row r="309" spans="1:11" x14ac:dyDescent="0.3">
      <c r="A309" t="s">
        <v>138</v>
      </c>
      <c r="B309" t="s">
        <v>20</v>
      </c>
      <c r="C309" t="s">
        <v>124</v>
      </c>
      <c r="D309" t="s">
        <v>139</v>
      </c>
      <c r="E309">
        <v>2021</v>
      </c>
      <c r="F309" t="s">
        <v>207</v>
      </c>
      <c r="G309" t="s">
        <v>208</v>
      </c>
      <c r="H309">
        <v>21560</v>
      </c>
      <c r="I309" t="s">
        <v>209</v>
      </c>
      <c r="J309" t="s">
        <v>210</v>
      </c>
      <c r="K309" t="s">
        <v>211</v>
      </c>
    </row>
    <row r="310" spans="1:11" x14ac:dyDescent="0.3">
      <c r="A310" t="s">
        <v>140</v>
      </c>
      <c r="B310" t="s">
        <v>20</v>
      </c>
      <c r="C310" t="s">
        <v>124</v>
      </c>
      <c r="D310" t="s">
        <v>141</v>
      </c>
      <c r="E310">
        <v>2021</v>
      </c>
      <c r="F310" t="s">
        <v>207</v>
      </c>
      <c r="G310" t="s">
        <v>208</v>
      </c>
      <c r="H310">
        <v>11088</v>
      </c>
      <c r="I310" t="s">
        <v>209</v>
      </c>
      <c r="J310" t="s">
        <v>210</v>
      </c>
      <c r="K310" t="s">
        <v>211</v>
      </c>
    </row>
    <row r="311" spans="1:11" x14ac:dyDescent="0.3">
      <c r="A311" t="s">
        <v>142</v>
      </c>
      <c r="B311" t="s">
        <v>20</v>
      </c>
      <c r="C311" t="s">
        <v>124</v>
      </c>
      <c r="D311" t="s">
        <v>143</v>
      </c>
      <c r="E311">
        <v>2021</v>
      </c>
      <c r="F311" t="s">
        <v>207</v>
      </c>
      <c r="G311" t="s">
        <v>208</v>
      </c>
      <c r="H311">
        <v>1936</v>
      </c>
      <c r="I311" t="s">
        <v>209</v>
      </c>
      <c r="J311" t="s">
        <v>210</v>
      </c>
      <c r="K311" t="s">
        <v>211</v>
      </c>
    </row>
    <row r="312" spans="1:11" x14ac:dyDescent="0.3">
      <c r="A312" t="s">
        <v>144</v>
      </c>
      <c r="B312" t="s">
        <v>20</v>
      </c>
      <c r="C312" t="s">
        <v>124</v>
      </c>
      <c r="D312" t="s">
        <v>145</v>
      </c>
      <c r="E312">
        <v>2021</v>
      </c>
      <c r="F312" t="s">
        <v>207</v>
      </c>
      <c r="G312" t="s">
        <v>208</v>
      </c>
      <c r="H312">
        <v>2256</v>
      </c>
      <c r="I312" t="s">
        <v>209</v>
      </c>
      <c r="J312" t="s">
        <v>210</v>
      </c>
      <c r="K312" t="s">
        <v>211</v>
      </c>
    </row>
    <row r="313" spans="1:11" x14ac:dyDescent="0.3">
      <c r="A313" t="s">
        <v>146</v>
      </c>
      <c r="B313" t="s">
        <v>20</v>
      </c>
      <c r="C313" t="s">
        <v>124</v>
      </c>
      <c r="D313" t="s">
        <v>147</v>
      </c>
      <c r="E313">
        <v>2021</v>
      </c>
      <c r="F313" t="s">
        <v>207</v>
      </c>
      <c r="G313" t="s">
        <v>208</v>
      </c>
      <c r="H313">
        <v>3031</v>
      </c>
      <c r="I313" t="s">
        <v>209</v>
      </c>
      <c r="J313" t="s">
        <v>210</v>
      </c>
      <c r="K313" t="s">
        <v>211</v>
      </c>
    </row>
    <row r="314" spans="1:11" x14ac:dyDescent="0.3">
      <c r="A314" t="s">
        <v>148</v>
      </c>
      <c r="B314" t="s">
        <v>20</v>
      </c>
      <c r="C314" t="s">
        <v>124</v>
      </c>
      <c r="D314" t="s">
        <v>149</v>
      </c>
      <c r="E314">
        <v>2021</v>
      </c>
      <c r="F314" t="s">
        <v>207</v>
      </c>
      <c r="G314" t="s">
        <v>208</v>
      </c>
      <c r="H314">
        <v>2384</v>
      </c>
      <c r="I314" t="s">
        <v>209</v>
      </c>
      <c r="J314" t="s">
        <v>210</v>
      </c>
      <c r="K314" t="s">
        <v>211</v>
      </c>
    </row>
    <row r="315" spans="1:11" x14ac:dyDescent="0.3">
      <c r="A315" t="s">
        <v>150</v>
      </c>
      <c r="B315" t="s">
        <v>20</v>
      </c>
      <c r="C315" t="s">
        <v>151</v>
      </c>
      <c r="D315" t="s">
        <v>152</v>
      </c>
      <c r="E315">
        <v>2021</v>
      </c>
      <c r="F315" t="s">
        <v>207</v>
      </c>
      <c r="G315" t="s">
        <v>208</v>
      </c>
      <c r="H315">
        <v>82085</v>
      </c>
      <c r="I315" t="s">
        <v>209</v>
      </c>
      <c r="J315" t="s">
        <v>210</v>
      </c>
      <c r="K315" t="s">
        <v>211</v>
      </c>
    </row>
    <row r="316" spans="1:11" x14ac:dyDescent="0.3">
      <c r="A316" t="s">
        <v>153</v>
      </c>
      <c r="B316" t="s">
        <v>20</v>
      </c>
      <c r="C316" t="s">
        <v>151</v>
      </c>
      <c r="D316" t="s">
        <v>154</v>
      </c>
      <c r="E316">
        <v>2021</v>
      </c>
      <c r="F316" t="s">
        <v>207</v>
      </c>
      <c r="G316" t="s">
        <v>208</v>
      </c>
      <c r="H316">
        <v>19553</v>
      </c>
      <c r="I316" t="s">
        <v>209</v>
      </c>
      <c r="J316" t="s">
        <v>210</v>
      </c>
      <c r="K316" t="s">
        <v>211</v>
      </c>
    </row>
    <row r="317" spans="1:11" x14ac:dyDescent="0.3">
      <c r="A317" t="s">
        <v>155</v>
      </c>
      <c r="B317" t="s">
        <v>20</v>
      </c>
      <c r="C317" t="s">
        <v>151</v>
      </c>
      <c r="D317" t="s">
        <v>156</v>
      </c>
      <c r="E317">
        <v>2021</v>
      </c>
      <c r="F317" t="s">
        <v>207</v>
      </c>
      <c r="G317" t="s">
        <v>208</v>
      </c>
      <c r="H317">
        <v>10179</v>
      </c>
      <c r="I317" t="s">
        <v>209</v>
      </c>
      <c r="J317" t="s">
        <v>210</v>
      </c>
      <c r="K317" t="s">
        <v>211</v>
      </c>
    </row>
    <row r="318" spans="1:11" x14ac:dyDescent="0.3">
      <c r="A318" t="s">
        <v>157</v>
      </c>
      <c r="B318" t="s">
        <v>20</v>
      </c>
      <c r="C318" t="s">
        <v>151</v>
      </c>
      <c r="D318" t="s">
        <v>158</v>
      </c>
      <c r="E318">
        <v>2021</v>
      </c>
      <c r="F318" t="s">
        <v>207</v>
      </c>
      <c r="G318" t="s">
        <v>208</v>
      </c>
      <c r="H318">
        <v>8865</v>
      </c>
      <c r="I318" t="s">
        <v>209</v>
      </c>
      <c r="J318" t="s">
        <v>210</v>
      </c>
      <c r="K318" t="s">
        <v>211</v>
      </c>
    </row>
    <row r="319" spans="1:11" x14ac:dyDescent="0.3">
      <c r="A319" t="s">
        <v>159</v>
      </c>
      <c r="B319" t="s">
        <v>20</v>
      </c>
      <c r="C319" t="s">
        <v>151</v>
      </c>
      <c r="D319" t="s">
        <v>160</v>
      </c>
      <c r="E319">
        <v>2021</v>
      </c>
      <c r="F319" t="s">
        <v>207</v>
      </c>
      <c r="G319" t="s">
        <v>208</v>
      </c>
      <c r="H319">
        <v>11164</v>
      </c>
      <c r="I319" t="s">
        <v>209</v>
      </c>
      <c r="J319" t="s">
        <v>210</v>
      </c>
      <c r="K319" t="s">
        <v>211</v>
      </c>
    </row>
    <row r="320" spans="1:11" x14ac:dyDescent="0.3">
      <c r="A320" t="s">
        <v>161</v>
      </c>
      <c r="B320" t="s">
        <v>20</v>
      </c>
      <c r="C320" t="s">
        <v>151</v>
      </c>
      <c r="D320" t="s">
        <v>162</v>
      </c>
      <c r="E320">
        <v>2021</v>
      </c>
      <c r="F320" t="s">
        <v>207</v>
      </c>
      <c r="G320" t="s">
        <v>208</v>
      </c>
      <c r="H320">
        <v>15064</v>
      </c>
      <c r="I320" t="s">
        <v>209</v>
      </c>
      <c r="J320" t="s">
        <v>210</v>
      </c>
      <c r="K320" t="s">
        <v>211</v>
      </c>
    </row>
    <row r="321" spans="1:11" x14ac:dyDescent="0.3">
      <c r="A321" t="s">
        <v>163</v>
      </c>
      <c r="B321" t="s">
        <v>20</v>
      </c>
      <c r="C321" t="s">
        <v>151</v>
      </c>
      <c r="D321" t="s">
        <v>164</v>
      </c>
      <c r="E321">
        <v>2021</v>
      </c>
      <c r="F321" t="s">
        <v>207</v>
      </c>
      <c r="G321" t="s">
        <v>208</v>
      </c>
      <c r="H321">
        <v>9986</v>
      </c>
      <c r="I321" t="s">
        <v>209</v>
      </c>
      <c r="J321" t="s">
        <v>210</v>
      </c>
      <c r="K321" t="s">
        <v>211</v>
      </c>
    </row>
    <row r="322" spans="1:11" x14ac:dyDescent="0.3">
      <c r="A322" t="s">
        <v>165</v>
      </c>
      <c r="B322" t="s">
        <v>20</v>
      </c>
      <c r="C322" t="s">
        <v>151</v>
      </c>
      <c r="D322" t="s">
        <v>166</v>
      </c>
      <c r="E322">
        <v>2021</v>
      </c>
      <c r="F322" t="s">
        <v>207</v>
      </c>
      <c r="G322" t="s">
        <v>208</v>
      </c>
      <c r="H322">
        <v>14534</v>
      </c>
      <c r="I322" t="s">
        <v>209</v>
      </c>
      <c r="J322" t="s">
        <v>210</v>
      </c>
      <c r="K322" t="s">
        <v>211</v>
      </c>
    </row>
    <row r="323" spans="1:11" x14ac:dyDescent="0.3">
      <c r="A323" t="s">
        <v>167</v>
      </c>
      <c r="B323" t="s">
        <v>20</v>
      </c>
      <c r="C323" t="s">
        <v>168</v>
      </c>
      <c r="D323" t="s">
        <v>169</v>
      </c>
      <c r="E323">
        <v>2021</v>
      </c>
      <c r="F323" t="s">
        <v>207</v>
      </c>
      <c r="G323" t="s">
        <v>208</v>
      </c>
      <c r="H323">
        <v>20456</v>
      </c>
      <c r="I323" t="s">
        <v>209</v>
      </c>
      <c r="J323" t="s">
        <v>210</v>
      </c>
      <c r="K323" t="s">
        <v>211</v>
      </c>
    </row>
    <row r="324" spans="1:11" x14ac:dyDescent="0.3">
      <c r="A324" t="s">
        <v>170</v>
      </c>
      <c r="B324" t="s">
        <v>20</v>
      </c>
      <c r="C324" t="s">
        <v>168</v>
      </c>
      <c r="D324" t="s">
        <v>171</v>
      </c>
      <c r="E324">
        <v>2021</v>
      </c>
      <c r="F324" t="s">
        <v>207</v>
      </c>
      <c r="G324" t="s">
        <v>208</v>
      </c>
      <c r="H324">
        <v>4934</v>
      </c>
      <c r="I324" t="s">
        <v>209</v>
      </c>
      <c r="J324" t="s">
        <v>210</v>
      </c>
      <c r="K324" t="s">
        <v>211</v>
      </c>
    </row>
    <row r="325" spans="1:11" x14ac:dyDescent="0.3">
      <c r="A325" t="s">
        <v>172</v>
      </c>
      <c r="B325" t="s">
        <v>20</v>
      </c>
      <c r="C325" t="s">
        <v>168</v>
      </c>
      <c r="D325" t="s">
        <v>173</v>
      </c>
      <c r="E325">
        <v>2021</v>
      </c>
      <c r="F325" t="s">
        <v>207</v>
      </c>
      <c r="G325" t="s">
        <v>208</v>
      </c>
      <c r="H325">
        <v>5739</v>
      </c>
      <c r="I325" t="s">
        <v>209</v>
      </c>
      <c r="J325" t="s">
        <v>210</v>
      </c>
      <c r="K325" t="s">
        <v>211</v>
      </c>
    </row>
    <row r="326" spans="1:11" x14ac:dyDescent="0.3">
      <c r="A326" t="s">
        <v>174</v>
      </c>
      <c r="B326" t="s">
        <v>20</v>
      </c>
      <c r="C326" t="s">
        <v>168</v>
      </c>
      <c r="D326" t="s">
        <v>175</v>
      </c>
      <c r="E326">
        <v>2021</v>
      </c>
      <c r="F326" t="s">
        <v>207</v>
      </c>
      <c r="G326" t="s">
        <v>208</v>
      </c>
      <c r="H326">
        <v>1842</v>
      </c>
      <c r="I326" t="s">
        <v>209</v>
      </c>
      <c r="J326" t="s">
        <v>210</v>
      </c>
      <c r="K326" t="s">
        <v>211</v>
      </c>
    </row>
    <row r="327" spans="1:11" x14ac:dyDescent="0.3">
      <c r="A327" t="s">
        <v>176</v>
      </c>
      <c r="B327" t="s">
        <v>20</v>
      </c>
      <c r="C327" t="s">
        <v>168</v>
      </c>
      <c r="D327" t="s">
        <v>177</v>
      </c>
      <c r="E327">
        <v>2021</v>
      </c>
      <c r="F327" t="s">
        <v>207</v>
      </c>
      <c r="G327" t="s">
        <v>208</v>
      </c>
      <c r="H327">
        <v>2424</v>
      </c>
      <c r="I327" t="s">
        <v>209</v>
      </c>
      <c r="J327" t="s">
        <v>210</v>
      </c>
      <c r="K327" t="s">
        <v>211</v>
      </c>
    </row>
    <row r="328" spans="1:11" x14ac:dyDescent="0.3">
      <c r="A328" t="s">
        <v>178</v>
      </c>
      <c r="B328" t="s">
        <v>20</v>
      </c>
      <c r="C328" t="s">
        <v>168</v>
      </c>
      <c r="D328" t="s">
        <v>179</v>
      </c>
      <c r="E328">
        <v>2021</v>
      </c>
      <c r="F328" t="s">
        <v>207</v>
      </c>
      <c r="G328" t="s">
        <v>208</v>
      </c>
      <c r="H328">
        <v>13708</v>
      </c>
      <c r="I328" t="s">
        <v>209</v>
      </c>
      <c r="J328" t="s">
        <v>210</v>
      </c>
      <c r="K328" t="s">
        <v>211</v>
      </c>
    </row>
    <row r="329" spans="1:11" x14ac:dyDescent="0.3">
      <c r="A329" t="s">
        <v>180</v>
      </c>
      <c r="B329" t="s">
        <v>20</v>
      </c>
      <c r="C329" t="s">
        <v>168</v>
      </c>
      <c r="D329" t="s">
        <v>181</v>
      </c>
      <c r="E329">
        <v>2021</v>
      </c>
      <c r="F329" t="s">
        <v>207</v>
      </c>
      <c r="G329" t="s">
        <v>208</v>
      </c>
      <c r="H329">
        <v>3043</v>
      </c>
      <c r="I329" t="s">
        <v>209</v>
      </c>
      <c r="J329" t="s">
        <v>210</v>
      </c>
      <c r="K329" t="s">
        <v>211</v>
      </c>
    </row>
    <row r="330" spans="1:11" x14ac:dyDescent="0.3">
      <c r="A330" t="s">
        <v>182</v>
      </c>
      <c r="B330" t="s">
        <v>20</v>
      </c>
      <c r="C330" t="s">
        <v>168</v>
      </c>
      <c r="D330" t="s">
        <v>183</v>
      </c>
      <c r="E330">
        <v>2021</v>
      </c>
      <c r="F330" t="s">
        <v>207</v>
      </c>
      <c r="G330" t="s">
        <v>208</v>
      </c>
      <c r="H330">
        <v>3680</v>
      </c>
      <c r="I330" t="s">
        <v>209</v>
      </c>
      <c r="J330" t="s">
        <v>210</v>
      </c>
      <c r="K330" t="s">
        <v>211</v>
      </c>
    </row>
    <row r="331" spans="1:11" x14ac:dyDescent="0.3">
      <c r="A331" t="s">
        <v>184</v>
      </c>
      <c r="B331" t="s">
        <v>20</v>
      </c>
      <c r="C331" t="s">
        <v>185</v>
      </c>
      <c r="D331" t="s">
        <v>186</v>
      </c>
      <c r="E331">
        <v>2021</v>
      </c>
      <c r="F331" t="s">
        <v>207</v>
      </c>
      <c r="G331" t="s">
        <v>208</v>
      </c>
      <c r="H331">
        <v>14358</v>
      </c>
      <c r="I331" t="s">
        <v>209</v>
      </c>
      <c r="J331" t="s">
        <v>210</v>
      </c>
      <c r="K331" t="s">
        <v>211</v>
      </c>
    </row>
    <row r="332" spans="1:11" x14ac:dyDescent="0.3">
      <c r="A332" t="s">
        <v>187</v>
      </c>
      <c r="B332" t="s">
        <v>20</v>
      </c>
      <c r="C332" t="s">
        <v>185</v>
      </c>
      <c r="D332" t="s">
        <v>188</v>
      </c>
      <c r="E332">
        <v>2021</v>
      </c>
      <c r="F332" t="s">
        <v>207</v>
      </c>
      <c r="G332" t="s">
        <v>208</v>
      </c>
      <c r="H332">
        <v>4839</v>
      </c>
      <c r="I332" t="s">
        <v>209</v>
      </c>
      <c r="J332" t="s">
        <v>210</v>
      </c>
      <c r="K332" t="s">
        <v>211</v>
      </c>
    </row>
    <row r="333" spans="1:11" x14ac:dyDescent="0.3">
      <c r="A333" t="s">
        <v>189</v>
      </c>
      <c r="B333" t="s">
        <v>20</v>
      </c>
      <c r="C333" t="s">
        <v>185</v>
      </c>
      <c r="D333" t="s">
        <v>190</v>
      </c>
      <c r="E333">
        <v>2021</v>
      </c>
      <c r="F333" t="s">
        <v>207</v>
      </c>
      <c r="G333" t="s">
        <v>208</v>
      </c>
      <c r="H333">
        <v>2573</v>
      </c>
      <c r="I333" t="s">
        <v>209</v>
      </c>
      <c r="J333" t="s">
        <v>210</v>
      </c>
      <c r="K333" t="s">
        <v>211</v>
      </c>
    </row>
    <row r="334" spans="1:11" x14ac:dyDescent="0.3">
      <c r="A334" t="s">
        <v>191</v>
      </c>
      <c r="B334" t="s">
        <v>20</v>
      </c>
      <c r="C334" t="s">
        <v>185</v>
      </c>
      <c r="D334" t="s">
        <v>192</v>
      </c>
      <c r="E334">
        <v>2021</v>
      </c>
      <c r="F334" t="s">
        <v>207</v>
      </c>
      <c r="G334" t="s">
        <v>208</v>
      </c>
      <c r="H334">
        <v>6470</v>
      </c>
      <c r="I334" t="s">
        <v>209</v>
      </c>
      <c r="J334" t="s">
        <v>210</v>
      </c>
      <c r="K334" t="s">
        <v>211</v>
      </c>
    </row>
    <row r="335" spans="1:11" x14ac:dyDescent="0.3">
      <c r="A335" t="s">
        <v>193</v>
      </c>
      <c r="B335" t="s">
        <v>20</v>
      </c>
      <c r="C335" t="s">
        <v>194</v>
      </c>
      <c r="D335" t="s">
        <v>195</v>
      </c>
      <c r="E335">
        <v>2021</v>
      </c>
      <c r="F335" t="s">
        <v>207</v>
      </c>
      <c r="G335" t="s">
        <v>208</v>
      </c>
      <c r="H335">
        <v>59275</v>
      </c>
      <c r="I335" t="s">
        <v>209</v>
      </c>
      <c r="J335" t="s">
        <v>210</v>
      </c>
      <c r="K335" t="s">
        <v>211</v>
      </c>
    </row>
    <row r="336" spans="1:11" x14ac:dyDescent="0.3">
      <c r="A336" t="s">
        <v>196</v>
      </c>
      <c r="B336" t="s">
        <v>20</v>
      </c>
      <c r="C336" t="s">
        <v>194</v>
      </c>
      <c r="D336" t="s">
        <v>197</v>
      </c>
      <c r="E336">
        <v>2021</v>
      </c>
      <c r="F336" t="s">
        <v>207</v>
      </c>
      <c r="G336" t="s">
        <v>208</v>
      </c>
      <c r="H336">
        <v>40535</v>
      </c>
      <c r="I336" t="s">
        <v>209</v>
      </c>
      <c r="J336" t="s">
        <v>210</v>
      </c>
      <c r="K336" t="s">
        <v>211</v>
      </c>
    </row>
    <row r="337" spans="1:11" x14ac:dyDescent="0.3">
      <c r="A337" t="s">
        <v>198</v>
      </c>
      <c r="B337" t="s">
        <v>20</v>
      </c>
      <c r="C337" t="s">
        <v>194</v>
      </c>
      <c r="D337" t="s">
        <v>199</v>
      </c>
      <c r="E337">
        <v>2021</v>
      </c>
      <c r="F337" t="s">
        <v>207</v>
      </c>
      <c r="G337" t="s">
        <v>208</v>
      </c>
      <c r="H337">
        <v>7780</v>
      </c>
      <c r="I337" t="s">
        <v>209</v>
      </c>
      <c r="J337" t="s">
        <v>210</v>
      </c>
      <c r="K337" t="s">
        <v>211</v>
      </c>
    </row>
    <row r="338" spans="1:11" x14ac:dyDescent="0.3">
      <c r="A338" t="s">
        <v>19</v>
      </c>
      <c r="B338" t="s">
        <v>20</v>
      </c>
      <c r="C338" t="s">
        <v>21</v>
      </c>
      <c r="D338" t="s">
        <v>22</v>
      </c>
      <c r="E338">
        <v>2022</v>
      </c>
      <c r="F338" t="s">
        <v>207</v>
      </c>
      <c r="G338" t="s">
        <v>208</v>
      </c>
      <c r="H338">
        <v>350915</v>
      </c>
      <c r="I338" t="s">
        <v>209</v>
      </c>
      <c r="J338" t="s">
        <v>210</v>
      </c>
      <c r="K338" t="s">
        <v>211</v>
      </c>
    </row>
    <row r="339" spans="1:11" x14ac:dyDescent="0.3">
      <c r="A339" t="s">
        <v>23</v>
      </c>
      <c r="B339" t="s">
        <v>20</v>
      </c>
      <c r="C339" t="s">
        <v>21</v>
      </c>
      <c r="D339" t="s">
        <v>24</v>
      </c>
      <c r="E339">
        <v>2022</v>
      </c>
      <c r="F339" t="s">
        <v>207</v>
      </c>
      <c r="G339" t="s">
        <v>208</v>
      </c>
      <c r="H339">
        <v>242202</v>
      </c>
      <c r="I339" t="s">
        <v>209</v>
      </c>
      <c r="J339" t="s">
        <v>210</v>
      </c>
      <c r="K339" t="s">
        <v>211</v>
      </c>
    </row>
    <row r="340" spans="1:11" x14ac:dyDescent="0.3">
      <c r="A340" t="s">
        <v>25</v>
      </c>
      <c r="B340" t="s">
        <v>20</v>
      </c>
      <c r="C340" t="s">
        <v>21</v>
      </c>
      <c r="D340" t="s">
        <v>26</v>
      </c>
      <c r="E340">
        <v>2022</v>
      </c>
      <c r="F340" t="s">
        <v>207</v>
      </c>
      <c r="G340" t="s">
        <v>208</v>
      </c>
      <c r="H340">
        <v>37879</v>
      </c>
      <c r="I340" t="s">
        <v>209</v>
      </c>
      <c r="J340" t="s">
        <v>210</v>
      </c>
      <c r="K340" t="s">
        <v>211</v>
      </c>
    </row>
    <row r="341" spans="1:11" x14ac:dyDescent="0.3">
      <c r="A341" t="s">
        <v>27</v>
      </c>
      <c r="B341" t="s">
        <v>20</v>
      </c>
      <c r="C341" t="s">
        <v>21</v>
      </c>
      <c r="D341" t="s">
        <v>28</v>
      </c>
      <c r="E341">
        <v>2022</v>
      </c>
      <c r="F341" t="s">
        <v>207</v>
      </c>
      <c r="G341" t="s">
        <v>208</v>
      </c>
      <c r="H341">
        <v>93851</v>
      </c>
      <c r="I341" t="s">
        <v>209</v>
      </c>
      <c r="J341" t="s">
        <v>210</v>
      </c>
      <c r="K341" t="s">
        <v>211</v>
      </c>
    </row>
    <row r="342" spans="1:11" x14ac:dyDescent="0.3">
      <c r="A342" t="s">
        <v>29</v>
      </c>
      <c r="B342" t="s">
        <v>20</v>
      </c>
      <c r="C342" t="s">
        <v>21</v>
      </c>
      <c r="D342" t="s">
        <v>30</v>
      </c>
      <c r="E342">
        <v>2022</v>
      </c>
      <c r="F342" t="s">
        <v>207</v>
      </c>
      <c r="G342" t="s">
        <v>208</v>
      </c>
      <c r="H342">
        <v>234854</v>
      </c>
      <c r="I342" t="s">
        <v>209</v>
      </c>
      <c r="J342" t="s">
        <v>210</v>
      </c>
      <c r="K342" t="s">
        <v>211</v>
      </c>
    </row>
    <row r="343" spans="1:11" x14ac:dyDescent="0.3">
      <c r="A343" t="s">
        <v>31</v>
      </c>
      <c r="B343" t="s">
        <v>20</v>
      </c>
      <c r="C343" t="s">
        <v>21</v>
      </c>
      <c r="D343" t="s">
        <v>32</v>
      </c>
      <c r="E343">
        <v>2022</v>
      </c>
      <c r="F343" t="s">
        <v>207</v>
      </c>
      <c r="G343" t="s">
        <v>208</v>
      </c>
      <c r="H343">
        <v>44440</v>
      </c>
      <c r="I343" t="s">
        <v>209</v>
      </c>
      <c r="J343" t="s">
        <v>210</v>
      </c>
      <c r="K343" t="s">
        <v>211</v>
      </c>
    </row>
    <row r="344" spans="1:11" x14ac:dyDescent="0.3">
      <c r="A344" t="s">
        <v>33</v>
      </c>
      <c r="B344" t="s">
        <v>20</v>
      </c>
      <c r="C344" t="s">
        <v>21</v>
      </c>
      <c r="D344" t="s">
        <v>34</v>
      </c>
      <c r="E344">
        <v>2022</v>
      </c>
      <c r="F344" t="s">
        <v>207</v>
      </c>
      <c r="G344" t="s">
        <v>208</v>
      </c>
      <c r="H344">
        <v>44663</v>
      </c>
      <c r="I344" t="s">
        <v>209</v>
      </c>
      <c r="J344" t="s">
        <v>210</v>
      </c>
      <c r="K344" t="s">
        <v>211</v>
      </c>
    </row>
    <row r="345" spans="1:11" x14ac:dyDescent="0.3">
      <c r="A345" t="s">
        <v>35</v>
      </c>
      <c r="B345" t="s">
        <v>20</v>
      </c>
      <c r="C345" t="s">
        <v>21</v>
      </c>
      <c r="D345" t="s">
        <v>36</v>
      </c>
      <c r="E345">
        <v>2022</v>
      </c>
      <c r="F345" t="s">
        <v>207</v>
      </c>
      <c r="G345" t="s">
        <v>208</v>
      </c>
      <c r="H345">
        <v>3969</v>
      </c>
      <c r="I345" t="s">
        <v>209</v>
      </c>
      <c r="J345" t="s">
        <v>210</v>
      </c>
      <c r="K345" t="s">
        <v>211</v>
      </c>
    </row>
    <row r="346" spans="1:11" x14ac:dyDescent="0.3">
      <c r="A346" t="s">
        <v>37</v>
      </c>
      <c r="B346" t="s">
        <v>20</v>
      </c>
      <c r="C346" t="s">
        <v>21</v>
      </c>
      <c r="D346" t="s">
        <v>38</v>
      </c>
      <c r="E346">
        <v>2022</v>
      </c>
      <c r="F346" t="s">
        <v>207</v>
      </c>
      <c r="G346" t="s">
        <v>208</v>
      </c>
      <c r="H346">
        <v>24028</v>
      </c>
      <c r="I346" t="s">
        <v>209</v>
      </c>
      <c r="J346" t="s">
        <v>210</v>
      </c>
      <c r="K346" t="s">
        <v>211</v>
      </c>
    </row>
    <row r="347" spans="1:11" x14ac:dyDescent="0.3">
      <c r="A347" t="s">
        <v>39</v>
      </c>
      <c r="B347" t="s">
        <v>20</v>
      </c>
      <c r="C347" t="s">
        <v>21</v>
      </c>
      <c r="D347" t="s">
        <v>40</v>
      </c>
      <c r="E347">
        <v>2022</v>
      </c>
      <c r="F347" t="s">
        <v>207</v>
      </c>
      <c r="G347" t="s">
        <v>208</v>
      </c>
      <c r="H347">
        <v>4575</v>
      </c>
      <c r="I347" t="s">
        <v>209</v>
      </c>
      <c r="J347" t="s">
        <v>210</v>
      </c>
      <c r="K347" t="s">
        <v>211</v>
      </c>
    </row>
    <row r="348" spans="1:11" x14ac:dyDescent="0.3">
      <c r="A348" t="s">
        <v>41</v>
      </c>
      <c r="B348" t="s">
        <v>20</v>
      </c>
      <c r="C348" t="s">
        <v>21</v>
      </c>
      <c r="D348" t="s">
        <v>42</v>
      </c>
      <c r="E348">
        <v>2022</v>
      </c>
      <c r="F348" t="s">
        <v>207</v>
      </c>
      <c r="G348" t="s">
        <v>208</v>
      </c>
      <c r="H348">
        <v>81494</v>
      </c>
      <c r="I348" t="s">
        <v>209</v>
      </c>
      <c r="J348" t="s">
        <v>210</v>
      </c>
      <c r="K348" t="s">
        <v>211</v>
      </c>
    </row>
    <row r="349" spans="1:11" x14ac:dyDescent="0.3">
      <c r="A349" t="s">
        <v>43</v>
      </c>
      <c r="B349" t="s">
        <v>20</v>
      </c>
      <c r="C349" t="s">
        <v>21</v>
      </c>
      <c r="D349" t="s">
        <v>44</v>
      </c>
      <c r="E349">
        <v>2022</v>
      </c>
      <c r="F349" t="s">
        <v>207</v>
      </c>
      <c r="G349" t="s">
        <v>208</v>
      </c>
      <c r="I349" t="s">
        <v>209</v>
      </c>
      <c r="J349" t="s">
        <v>210</v>
      </c>
      <c r="K349" t="s">
        <v>211</v>
      </c>
    </row>
    <row r="350" spans="1:11" x14ac:dyDescent="0.3">
      <c r="A350" t="s">
        <v>45</v>
      </c>
      <c r="B350" t="s">
        <v>20</v>
      </c>
      <c r="C350" t="s">
        <v>46</v>
      </c>
      <c r="D350" t="s">
        <v>47</v>
      </c>
      <c r="E350">
        <v>2022</v>
      </c>
      <c r="F350" t="s">
        <v>207</v>
      </c>
      <c r="G350" t="s">
        <v>208</v>
      </c>
      <c r="H350">
        <v>6868</v>
      </c>
      <c r="I350" t="s">
        <v>209</v>
      </c>
      <c r="J350" t="s">
        <v>210</v>
      </c>
      <c r="K350" t="s">
        <v>211</v>
      </c>
    </row>
    <row r="351" spans="1:11" x14ac:dyDescent="0.3">
      <c r="A351" t="s">
        <v>48</v>
      </c>
      <c r="B351" t="s">
        <v>20</v>
      </c>
      <c r="C351" t="s">
        <v>46</v>
      </c>
      <c r="D351" t="s">
        <v>49</v>
      </c>
      <c r="E351">
        <v>2022</v>
      </c>
      <c r="F351" t="s">
        <v>207</v>
      </c>
      <c r="G351" t="s">
        <v>208</v>
      </c>
      <c r="H351">
        <v>16180</v>
      </c>
      <c r="I351" t="s">
        <v>209</v>
      </c>
      <c r="J351" t="s">
        <v>210</v>
      </c>
      <c r="K351" t="s">
        <v>211</v>
      </c>
    </row>
    <row r="352" spans="1:11" x14ac:dyDescent="0.3">
      <c r="A352" t="s">
        <v>50</v>
      </c>
      <c r="B352" t="s">
        <v>20</v>
      </c>
      <c r="C352" t="s">
        <v>46</v>
      </c>
      <c r="D352" t="s">
        <v>51</v>
      </c>
      <c r="E352">
        <v>2022</v>
      </c>
      <c r="F352" t="s">
        <v>207</v>
      </c>
      <c r="G352" t="s">
        <v>208</v>
      </c>
      <c r="H352">
        <v>9808</v>
      </c>
      <c r="I352" t="s">
        <v>209</v>
      </c>
      <c r="J352" t="s">
        <v>210</v>
      </c>
      <c r="K352" t="s">
        <v>211</v>
      </c>
    </row>
    <row r="353" spans="1:11" x14ac:dyDescent="0.3">
      <c r="A353" t="s">
        <v>52</v>
      </c>
      <c r="B353" t="s">
        <v>20</v>
      </c>
      <c r="C353" t="s">
        <v>46</v>
      </c>
      <c r="D353" t="s">
        <v>53</v>
      </c>
      <c r="E353">
        <v>2022</v>
      </c>
      <c r="F353" t="s">
        <v>207</v>
      </c>
      <c r="G353" t="s">
        <v>208</v>
      </c>
      <c r="H353">
        <v>2652</v>
      </c>
      <c r="I353" t="s">
        <v>209</v>
      </c>
      <c r="J353" t="s">
        <v>210</v>
      </c>
      <c r="K353" t="s">
        <v>211</v>
      </c>
    </row>
    <row r="354" spans="1:11" x14ac:dyDescent="0.3">
      <c r="A354" t="s">
        <v>54</v>
      </c>
      <c r="B354" t="s">
        <v>20</v>
      </c>
      <c r="C354" t="s">
        <v>46</v>
      </c>
      <c r="D354" t="s">
        <v>55</v>
      </c>
      <c r="E354">
        <v>2022</v>
      </c>
      <c r="F354" t="s">
        <v>207</v>
      </c>
      <c r="G354" t="s">
        <v>208</v>
      </c>
      <c r="H354">
        <v>29804</v>
      </c>
      <c r="I354" t="s">
        <v>209</v>
      </c>
      <c r="J354" t="s">
        <v>210</v>
      </c>
      <c r="K354" t="s">
        <v>211</v>
      </c>
    </row>
    <row r="355" spans="1:11" x14ac:dyDescent="0.3">
      <c r="A355" t="s">
        <v>56</v>
      </c>
      <c r="B355" t="s">
        <v>20</v>
      </c>
      <c r="C355" t="s">
        <v>46</v>
      </c>
      <c r="D355" t="s">
        <v>57</v>
      </c>
      <c r="E355">
        <v>2022</v>
      </c>
      <c r="F355" t="s">
        <v>207</v>
      </c>
      <c r="G355" t="s">
        <v>208</v>
      </c>
      <c r="H355">
        <v>9572</v>
      </c>
      <c r="I355" t="s">
        <v>209</v>
      </c>
      <c r="J355" t="s">
        <v>210</v>
      </c>
      <c r="K355" t="s">
        <v>211</v>
      </c>
    </row>
    <row r="356" spans="1:11" x14ac:dyDescent="0.3">
      <c r="A356" t="s">
        <v>58</v>
      </c>
      <c r="B356" t="s">
        <v>20</v>
      </c>
      <c r="C356" t="s">
        <v>46</v>
      </c>
      <c r="D356" t="s">
        <v>59</v>
      </c>
      <c r="E356">
        <v>2022</v>
      </c>
      <c r="F356" t="s">
        <v>207</v>
      </c>
      <c r="G356" t="s">
        <v>208</v>
      </c>
      <c r="H356">
        <v>20118</v>
      </c>
      <c r="I356" t="s">
        <v>209</v>
      </c>
      <c r="J356" t="s">
        <v>210</v>
      </c>
      <c r="K356" t="s">
        <v>211</v>
      </c>
    </row>
    <row r="357" spans="1:11" x14ac:dyDescent="0.3">
      <c r="A357" t="s">
        <v>60</v>
      </c>
      <c r="B357" t="s">
        <v>20</v>
      </c>
      <c r="C357" t="s">
        <v>46</v>
      </c>
      <c r="D357" t="s">
        <v>61</v>
      </c>
      <c r="E357">
        <v>2022</v>
      </c>
      <c r="F357" t="s">
        <v>207</v>
      </c>
      <c r="G357" t="s">
        <v>208</v>
      </c>
      <c r="H357">
        <v>29942</v>
      </c>
      <c r="I357" t="s">
        <v>209</v>
      </c>
      <c r="J357" t="s">
        <v>210</v>
      </c>
      <c r="K357" t="s">
        <v>211</v>
      </c>
    </row>
    <row r="358" spans="1:11" x14ac:dyDescent="0.3">
      <c r="A358" t="s">
        <v>62</v>
      </c>
      <c r="B358" t="s">
        <v>20</v>
      </c>
      <c r="C358" t="s">
        <v>63</v>
      </c>
      <c r="D358" t="s">
        <v>64</v>
      </c>
      <c r="E358">
        <v>2022</v>
      </c>
      <c r="F358" t="s">
        <v>207</v>
      </c>
      <c r="G358" t="s">
        <v>208</v>
      </c>
      <c r="H358">
        <v>5083</v>
      </c>
      <c r="I358" t="s">
        <v>209</v>
      </c>
      <c r="J358" t="s">
        <v>210</v>
      </c>
      <c r="K358" t="s">
        <v>211</v>
      </c>
    </row>
    <row r="359" spans="1:11" x14ac:dyDescent="0.3">
      <c r="A359" t="s">
        <v>65</v>
      </c>
      <c r="B359" t="s">
        <v>20</v>
      </c>
      <c r="C359" t="s">
        <v>63</v>
      </c>
      <c r="D359" t="s">
        <v>66</v>
      </c>
      <c r="E359">
        <v>2022</v>
      </c>
      <c r="F359" t="s">
        <v>207</v>
      </c>
      <c r="G359" t="s">
        <v>208</v>
      </c>
      <c r="H359">
        <v>3109</v>
      </c>
      <c r="I359" t="s">
        <v>209</v>
      </c>
      <c r="J359" t="s">
        <v>210</v>
      </c>
      <c r="K359" t="s">
        <v>211</v>
      </c>
    </row>
    <row r="360" spans="1:11" x14ac:dyDescent="0.3">
      <c r="A360" t="s">
        <v>67</v>
      </c>
      <c r="B360" t="s">
        <v>20</v>
      </c>
      <c r="C360" t="s">
        <v>63</v>
      </c>
      <c r="D360" t="s">
        <v>68</v>
      </c>
      <c r="E360">
        <v>2022</v>
      </c>
      <c r="F360" t="s">
        <v>207</v>
      </c>
      <c r="G360" t="s">
        <v>208</v>
      </c>
      <c r="H360">
        <v>2135</v>
      </c>
      <c r="I360" t="s">
        <v>209</v>
      </c>
      <c r="J360" t="s">
        <v>210</v>
      </c>
      <c r="K360" t="s">
        <v>211</v>
      </c>
    </row>
    <row r="361" spans="1:11" x14ac:dyDescent="0.3">
      <c r="A361" t="s">
        <v>69</v>
      </c>
      <c r="B361" t="s">
        <v>20</v>
      </c>
      <c r="C361" t="s">
        <v>63</v>
      </c>
      <c r="D361" t="s">
        <v>70</v>
      </c>
      <c r="E361">
        <v>2022</v>
      </c>
      <c r="F361" t="s">
        <v>207</v>
      </c>
      <c r="G361" t="s">
        <v>208</v>
      </c>
      <c r="H361">
        <v>2357</v>
      </c>
      <c r="I361" t="s">
        <v>209</v>
      </c>
      <c r="J361" t="s">
        <v>210</v>
      </c>
      <c r="K361" t="s">
        <v>211</v>
      </c>
    </row>
    <row r="362" spans="1:11" x14ac:dyDescent="0.3">
      <c r="A362" t="s">
        <v>71</v>
      </c>
      <c r="B362" t="s">
        <v>20</v>
      </c>
      <c r="C362" t="s">
        <v>63</v>
      </c>
      <c r="D362" t="s">
        <v>72</v>
      </c>
      <c r="E362">
        <v>2022</v>
      </c>
      <c r="F362" t="s">
        <v>207</v>
      </c>
      <c r="G362" t="s">
        <v>208</v>
      </c>
      <c r="H362">
        <v>2330</v>
      </c>
      <c r="I362" t="s">
        <v>209</v>
      </c>
      <c r="J362" t="s">
        <v>210</v>
      </c>
      <c r="K362" t="s">
        <v>211</v>
      </c>
    </row>
    <row r="363" spans="1:11" x14ac:dyDescent="0.3">
      <c r="A363" t="s">
        <v>73</v>
      </c>
      <c r="B363" t="s">
        <v>20</v>
      </c>
      <c r="C363" t="s">
        <v>63</v>
      </c>
      <c r="D363" t="s">
        <v>74</v>
      </c>
      <c r="E363">
        <v>2022</v>
      </c>
      <c r="F363" t="s">
        <v>207</v>
      </c>
      <c r="G363" t="s">
        <v>208</v>
      </c>
      <c r="H363">
        <v>899</v>
      </c>
      <c r="I363" t="s">
        <v>209</v>
      </c>
      <c r="J363" t="s">
        <v>210</v>
      </c>
      <c r="K363" t="s">
        <v>211</v>
      </c>
    </row>
    <row r="364" spans="1:11" x14ac:dyDescent="0.3">
      <c r="A364" t="s">
        <v>75</v>
      </c>
      <c r="B364" t="s">
        <v>20</v>
      </c>
      <c r="C364" t="s">
        <v>76</v>
      </c>
      <c r="D364" t="s">
        <v>77</v>
      </c>
      <c r="E364">
        <v>2022</v>
      </c>
      <c r="F364" t="s">
        <v>207</v>
      </c>
      <c r="G364" t="s">
        <v>208</v>
      </c>
      <c r="H364">
        <v>49489</v>
      </c>
      <c r="I364" t="s">
        <v>209</v>
      </c>
      <c r="J364" t="s">
        <v>210</v>
      </c>
      <c r="K364" t="s">
        <v>211</v>
      </c>
    </row>
    <row r="365" spans="1:11" x14ac:dyDescent="0.3">
      <c r="A365" t="s">
        <v>78</v>
      </c>
      <c r="B365" t="s">
        <v>20</v>
      </c>
      <c r="C365" t="s">
        <v>76</v>
      </c>
      <c r="D365" t="s">
        <v>79</v>
      </c>
      <c r="E365">
        <v>2022</v>
      </c>
      <c r="F365" t="s">
        <v>207</v>
      </c>
      <c r="G365" t="s">
        <v>208</v>
      </c>
      <c r="H365">
        <v>25806</v>
      </c>
      <c r="I365" t="s">
        <v>209</v>
      </c>
      <c r="J365" t="s">
        <v>210</v>
      </c>
      <c r="K365" t="s">
        <v>211</v>
      </c>
    </row>
    <row r="366" spans="1:11" x14ac:dyDescent="0.3">
      <c r="A366" t="s">
        <v>80</v>
      </c>
      <c r="B366" t="s">
        <v>20</v>
      </c>
      <c r="C366" t="s">
        <v>76</v>
      </c>
      <c r="D366" t="s">
        <v>81</v>
      </c>
      <c r="E366">
        <v>2022</v>
      </c>
      <c r="F366" t="s">
        <v>207</v>
      </c>
      <c r="G366" t="s">
        <v>208</v>
      </c>
      <c r="H366">
        <v>12857</v>
      </c>
      <c r="I366" t="s">
        <v>209</v>
      </c>
      <c r="J366" t="s">
        <v>210</v>
      </c>
      <c r="K366" t="s">
        <v>211</v>
      </c>
    </row>
    <row r="367" spans="1:11" x14ac:dyDescent="0.3">
      <c r="A367" t="s">
        <v>82</v>
      </c>
      <c r="B367" t="s">
        <v>20</v>
      </c>
      <c r="C367" t="s">
        <v>83</v>
      </c>
      <c r="D367" t="s">
        <v>84</v>
      </c>
      <c r="E367">
        <v>2022</v>
      </c>
      <c r="F367" t="s">
        <v>207</v>
      </c>
      <c r="G367" t="s">
        <v>208</v>
      </c>
      <c r="H367">
        <v>12804</v>
      </c>
      <c r="I367" t="s">
        <v>209</v>
      </c>
      <c r="J367" t="s">
        <v>210</v>
      </c>
      <c r="K367" t="s">
        <v>211</v>
      </c>
    </row>
    <row r="368" spans="1:11" x14ac:dyDescent="0.3">
      <c r="A368" t="s">
        <v>85</v>
      </c>
      <c r="B368" t="s">
        <v>20</v>
      </c>
      <c r="C368" t="s">
        <v>83</v>
      </c>
      <c r="D368" t="s">
        <v>86</v>
      </c>
      <c r="E368">
        <v>2022</v>
      </c>
      <c r="F368" t="s">
        <v>207</v>
      </c>
      <c r="G368" t="s">
        <v>208</v>
      </c>
      <c r="H368">
        <v>4906</v>
      </c>
      <c r="I368" t="s">
        <v>209</v>
      </c>
      <c r="J368" t="s">
        <v>210</v>
      </c>
      <c r="K368" t="s">
        <v>211</v>
      </c>
    </row>
    <row r="369" spans="1:11" x14ac:dyDescent="0.3">
      <c r="A369" t="s">
        <v>87</v>
      </c>
      <c r="B369" t="s">
        <v>20</v>
      </c>
      <c r="C369" t="s">
        <v>83</v>
      </c>
      <c r="D369" t="s">
        <v>88</v>
      </c>
      <c r="E369">
        <v>2022</v>
      </c>
      <c r="F369" t="s">
        <v>207</v>
      </c>
      <c r="G369" t="s">
        <v>208</v>
      </c>
      <c r="H369">
        <v>6929</v>
      </c>
      <c r="I369" t="s">
        <v>209</v>
      </c>
      <c r="J369" t="s">
        <v>210</v>
      </c>
      <c r="K369" t="s">
        <v>211</v>
      </c>
    </row>
    <row r="370" spans="1:11" x14ac:dyDescent="0.3">
      <c r="A370" t="s">
        <v>89</v>
      </c>
      <c r="B370" t="s">
        <v>20</v>
      </c>
      <c r="C370" t="s">
        <v>83</v>
      </c>
      <c r="D370" t="s">
        <v>90</v>
      </c>
      <c r="E370">
        <v>2022</v>
      </c>
      <c r="F370" t="s">
        <v>207</v>
      </c>
      <c r="G370" t="s">
        <v>208</v>
      </c>
      <c r="H370">
        <v>6249</v>
      </c>
      <c r="I370" t="s">
        <v>209</v>
      </c>
      <c r="J370" t="s">
        <v>210</v>
      </c>
      <c r="K370" t="s">
        <v>211</v>
      </c>
    </row>
    <row r="371" spans="1:11" x14ac:dyDescent="0.3">
      <c r="A371" t="s">
        <v>91</v>
      </c>
      <c r="B371" t="s">
        <v>20</v>
      </c>
      <c r="C371" t="s">
        <v>92</v>
      </c>
      <c r="D371" t="s">
        <v>93</v>
      </c>
      <c r="E371">
        <v>2022</v>
      </c>
      <c r="F371" t="s">
        <v>207</v>
      </c>
      <c r="G371" t="s">
        <v>208</v>
      </c>
      <c r="H371">
        <v>27201</v>
      </c>
      <c r="I371" t="s">
        <v>209</v>
      </c>
      <c r="J371" t="s">
        <v>210</v>
      </c>
      <c r="K371" t="s">
        <v>211</v>
      </c>
    </row>
    <row r="372" spans="1:11" x14ac:dyDescent="0.3">
      <c r="A372" t="s">
        <v>94</v>
      </c>
      <c r="B372" t="s">
        <v>20</v>
      </c>
      <c r="C372" t="s">
        <v>92</v>
      </c>
      <c r="D372" t="s">
        <v>95</v>
      </c>
      <c r="E372">
        <v>2022</v>
      </c>
      <c r="F372" t="s">
        <v>207</v>
      </c>
      <c r="G372" t="s">
        <v>208</v>
      </c>
      <c r="H372">
        <v>10550</v>
      </c>
      <c r="I372" t="s">
        <v>209</v>
      </c>
      <c r="J372" t="s">
        <v>210</v>
      </c>
      <c r="K372" t="s">
        <v>211</v>
      </c>
    </row>
    <row r="373" spans="1:11" x14ac:dyDescent="0.3">
      <c r="A373" t="s">
        <v>96</v>
      </c>
      <c r="B373" t="s">
        <v>20</v>
      </c>
      <c r="C373" t="s">
        <v>92</v>
      </c>
      <c r="D373" t="s">
        <v>97</v>
      </c>
      <c r="E373">
        <v>2022</v>
      </c>
      <c r="F373" t="s">
        <v>207</v>
      </c>
      <c r="G373" t="s">
        <v>208</v>
      </c>
      <c r="H373">
        <v>2512</v>
      </c>
      <c r="I373" t="s">
        <v>209</v>
      </c>
      <c r="J373" t="s">
        <v>210</v>
      </c>
      <c r="K373" t="s">
        <v>211</v>
      </c>
    </row>
    <row r="374" spans="1:11" x14ac:dyDescent="0.3">
      <c r="A374" t="s">
        <v>98</v>
      </c>
      <c r="B374" t="s">
        <v>20</v>
      </c>
      <c r="C374" t="s">
        <v>92</v>
      </c>
      <c r="D374" t="s">
        <v>99</v>
      </c>
      <c r="E374">
        <v>2022</v>
      </c>
      <c r="F374" t="s">
        <v>207</v>
      </c>
      <c r="G374" t="s">
        <v>208</v>
      </c>
      <c r="H374">
        <v>4005</v>
      </c>
      <c r="I374" t="s">
        <v>209</v>
      </c>
      <c r="J374" t="s">
        <v>210</v>
      </c>
      <c r="K374" t="s">
        <v>211</v>
      </c>
    </row>
    <row r="375" spans="1:11" x14ac:dyDescent="0.3">
      <c r="A375" t="s">
        <v>100</v>
      </c>
      <c r="B375" t="s">
        <v>20</v>
      </c>
      <c r="C375" t="s">
        <v>92</v>
      </c>
      <c r="D375" t="s">
        <v>101</v>
      </c>
      <c r="E375">
        <v>2022</v>
      </c>
      <c r="F375" t="s">
        <v>207</v>
      </c>
      <c r="G375" t="s">
        <v>208</v>
      </c>
      <c r="H375">
        <v>658</v>
      </c>
      <c r="I375" t="s">
        <v>209</v>
      </c>
      <c r="J375" t="s">
        <v>210</v>
      </c>
      <c r="K375" t="s">
        <v>211</v>
      </c>
    </row>
    <row r="376" spans="1:11" x14ac:dyDescent="0.3">
      <c r="A376" t="s">
        <v>102</v>
      </c>
      <c r="B376" t="s">
        <v>20</v>
      </c>
      <c r="C376" t="s">
        <v>92</v>
      </c>
      <c r="D376" t="s">
        <v>103</v>
      </c>
      <c r="E376">
        <v>2022</v>
      </c>
      <c r="F376" t="s">
        <v>207</v>
      </c>
      <c r="G376" t="s">
        <v>208</v>
      </c>
      <c r="H376">
        <v>2835</v>
      </c>
      <c r="I376" t="s">
        <v>209</v>
      </c>
      <c r="J376" t="s">
        <v>210</v>
      </c>
      <c r="K376" t="s">
        <v>211</v>
      </c>
    </row>
    <row r="377" spans="1:11" x14ac:dyDescent="0.3">
      <c r="A377" t="s">
        <v>104</v>
      </c>
      <c r="B377" t="s">
        <v>20</v>
      </c>
      <c r="C377" t="s">
        <v>92</v>
      </c>
      <c r="D377" t="s">
        <v>105</v>
      </c>
      <c r="E377">
        <v>2022</v>
      </c>
      <c r="F377" t="s">
        <v>207</v>
      </c>
      <c r="G377" t="s">
        <v>208</v>
      </c>
      <c r="H377">
        <v>530</v>
      </c>
      <c r="I377" t="s">
        <v>209</v>
      </c>
      <c r="J377" t="s">
        <v>210</v>
      </c>
      <c r="K377" t="s">
        <v>211</v>
      </c>
    </row>
    <row r="378" spans="1:11" x14ac:dyDescent="0.3">
      <c r="A378" t="s">
        <v>106</v>
      </c>
      <c r="B378" t="s">
        <v>20</v>
      </c>
      <c r="C378" t="s">
        <v>92</v>
      </c>
      <c r="D378" t="s">
        <v>107</v>
      </c>
      <c r="E378">
        <v>2022</v>
      </c>
      <c r="F378" t="s">
        <v>207</v>
      </c>
      <c r="G378" t="s">
        <v>208</v>
      </c>
      <c r="H378">
        <v>6591</v>
      </c>
      <c r="I378" t="s">
        <v>209</v>
      </c>
      <c r="J378" t="s">
        <v>210</v>
      </c>
      <c r="K378" t="s">
        <v>211</v>
      </c>
    </row>
    <row r="379" spans="1:11" x14ac:dyDescent="0.3">
      <c r="A379" t="s">
        <v>108</v>
      </c>
      <c r="B379" t="s">
        <v>20</v>
      </c>
      <c r="C379" t="s">
        <v>92</v>
      </c>
      <c r="D379" t="s">
        <v>109</v>
      </c>
      <c r="E379">
        <v>2022</v>
      </c>
      <c r="F379" t="s">
        <v>207</v>
      </c>
      <c r="G379" t="s">
        <v>208</v>
      </c>
      <c r="H379">
        <v>7467</v>
      </c>
      <c r="I379" t="s">
        <v>209</v>
      </c>
      <c r="J379" t="s">
        <v>210</v>
      </c>
      <c r="K379" t="s">
        <v>211</v>
      </c>
    </row>
    <row r="380" spans="1:11" x14ac:dyDescent="0.3">
      <c r="A380" t="s">
        <v>110</v>
      </c>
      <c r="B380" t="s">
        <v>20</v>
      </c>
      <c r="C380" t="s">
        <v>92</v>
      </c>
      <c r="D380" t="s">
        <v>111</v>
      </c>
      <c r="E380">
        <v>2022</v>
      </c>
      <c r="F380" t="s">
        <v>207</v>
      </c>
      <c r="G380" t="s">
        <v>208</v>
      </c>
      <c r="H380">
        <v>22622</v>
      </c>
      <c r="I380" t="s">
        <v>209</v>
      </c>
      <c r="J380" t="s">
        <v>210</v>
      </c>
      <c r="K380" t="s">
        <v>211</v>
      </c>
    </row>
    <row r="381" spans="1:11" x14ac:dyDescent="0.3">
      <c r="A381" t="s">
        <v>112</v>
      </c>
      <c r="B381" t="s">
        <v>20</v>
      </c>
      <c r="C381" t="s">
        <v>113</v>
      </c>
      <c r="D381" t="s">
        <v>114</v>
      </c>
      <c r="E381">
        <v>2022</v>
      </c>
      <c r="F381" t="s">
        <v>207</v>
      </c>
      <c r="G381" t="s">
        <v>208</v>
      </c>
      <c r="H381">
        <v>19882</v>
      </c>
      <c r="I381" t="s">
        <v>209</v>
      </c>
      <c r="J381" t="s">
        <v>210</v>
      </c>
      <c r="K381" t="s">
        <v>211</v>
      </c>
    </row>
    <row r="382" spans="1:11" x14ac:dyDescent="0.3">
      <c r="A382" t="s">
        <v>115</v>
      </c>
      <c r="B382" t="s">
        <v>20</v>
      </c>
      <c r="C382" t="s">
        <v>113</v>
      </c>
      <c r="D382" t="s">
        <v>116</v>
      </c>
      <c r="E382">
        <v>2022</v>
      </c>
      <c r="F382" t="s">
        <v>207</v>
      </c>
      <c r="G382" t="s">
        <v>208</v>
      </c>
      <c r="H382">
        <v>45202</v>
      </c>
      <c r="I382" t="s">
        <v>209</v>
      </c>
      <c r="J382" t="s">
        <v>210</v>
      </c>
      <c r="K382" t="s">
        <v>211</v>
      </c>
    </row>
    <row r="383" spans="1:11" x14ac:dyDescent="0.3">
      <c r="A383" t="s">
        <v>117</v>
      </c>
      <c r="B383" t="s">
        <v>20</v>
      </c>
      <c r="C383" t="s">
        <v>113</v>
      </c>
      <c r="D383" t="s">
        <v>118</v>
      </c>
      <c r="E383">
        <v>2022</v>
      </c>
      <c r="F383" t="s">
        <v>207</v>
      </c>
      <c r="G383" t="s">
        <v>208</v>
      </c>
      <c r="H383">
        <v>4803</v>
      </c>
      <c r="I383" t="s">
        <v>209</v>
      </c>
      <c r="J383" t="s">
        <v>210</v>
      </c>
      <c r="K383" t="s">
        <v>211</v>
      </c>
    </row>
    <row r="384" spans="1:11" x14ac:dyDescent="0.3">
      <c r="A384" t="s">
        <v>119</v>
      </c>
      <c r="B384" t="s">
        <v>20</v>
      </c>
      <c r="C384" t="s">
        <v>113</v>
      </c>
      <c r="D384" t="s">
        <v>120</v>
      </c>
      <c r="E384">
        <v>2022</v>
      </c>
      <c r="F384" t="s">
        <v>207</v>
      </c>
      <c r="G384" t="s">
        <v>208</v>
      </c>
      <c r="H384">
        <v>33150</v>
      </c>
      <c r="I384" t="s">
        <v>209</v>
      </c>
      <c r="J384" t="s">
        <v>210</v>
      </c>
      <c r="K384" t="s">
        <v>211</v>
      </c>
    </row>
    <row r="385" spans="1:11" x14ac:dyDescent="0.3">
      <c r="A385" t="s">
        <v>121</v>
      </c>
      <c r="B385" t="s">
        <v>20</v>
      </c>
      <c r="C385" t="s">
        <v>113</v>
      </c>
      <c r="D385" t="s">
        <v>122</v>
      </c>
      <c r="E385">
        <v>2022</v>
      </c>
      <c r="F385" t="s">
        <v>207</v>
      </c>
      <c r="G385" t="s">
        <v>208</v>
      </c>
      <c r="H385">
        <v>12902</v>
      </c>
      <c r="I385" t="s">
        <v>209</v>
      </c>
      <c r="J385" t="s">
        <v>210</v>
      </c>
      <c r="K385" t="s">
        <v>211</v>
      </c>
    </row>
    <row r="386" spans="1:11" x14ac:dyDescent="0.3">
      <c r="A386" t="s">
        <v>123</v>
      </c>
      <c r="B386" t="s">
        <v>20</v>
      </c>
      <c r="C386" t="s">
        <v>124</v>
      </c>
      <c r="D386" t="s">
        <v>125</v>
      </c>
      <c r="E386">
        <v>2022</v>
      </c>
      <c r="F386" t="s">
        <v>207</v>
      </c>
      <c r="G386" t="s">
        <v>208</v>
      </c>
      <c r="H386">
        <v>13848</v>
      </c>
      <c r="I386" t="s">
        <v>209</v>
      </c>
      <c r="J386" t="s">
        <v>210</v>
      </c>
      <c r="K386" t="s">
        <v>211</v>
      </c>
    </row>
    <row r="387" spans="1:11" x14ac:dyDescent="0.3">
      <c r="A387" t="s">
        <v>126</v>
      </c>
      <c r="B387" t="s">
        <v>20</v>
      </c>
      <c r="C387" t="s">
        <v>124</v>
      </c>
      <c r="D387" t="s">
        <v>127</v>
      </c>
      <c r="E387">
        <v>2022</v>
      </c>
      <c r="F387" t="s">
        <v>207</v>
      </c>
      <c r="G387" t="s">
        <v>208</v>
      </c>
      <c r="H387">
        <v>4292</v>
      </c>
      <c r="I387" t="s">
        <v>209</v>
      </c>
      <c r="J387" t="s">
        <v>210</v>
      </c>
      <c r="K387" t="s">
        <v>211</v>
      </c>
    </row>
    <row r="388" spans="1:11" x14ac:dyDescent="0.3">
      <c r="A388" t="s">
        <v>128</v>
      </c>
      <c r="B388" t="s">
        <v>20</v>
      </c>
      <c r="C388" t="s">
        <v>124</v>
      </c>
      <c r="D388" t="s">
        <v>129</v>
      </c>
      <c r="E388">
        <v>2022</v>
      </c>
      <c r="F388" t="s">
        <v>207</v>
      </c>
      <c r="G388" t="s">
        <v>208</v>
      </c>
      <c r="H388">
        <v>13206</v>
      </c>
      <c r="I388" t="s">
        <v>209</v>
      </c>
      <c r="J388" t="s">
        <v>210</v>
      </c>
      <c r="K388" t="s">
        <v>211</v>
      </c>
    </row>
    <row r="389" spans="1:11" x14ac:dyDescent="0.3">
      <c r="A389" t="s">
        <v>130</v>
      </c>
      <c r="B389" t="s">
        <v>20</v>
      </c>
      <c r="C389" t="s">
        <v>124</v>
      </c>
      <c r="D389" t="s">
        <v>131</v>
      </c>
      <c r="E389">
        <v>2022</v>
      </c>
      <c r="F389" t="s">
        <v>207</v>
      </c>
      <c r="G389" t="s">
        <v>208</v>
      </c>
      <c r="H389">
        <v>6122</v>
      </c>
      <c r="I389" t="s">
        <v>209</v>
      </c>
      <c r="J389" t="s">
        <v>210</v>
      </c>
      <c r="K389" t="s">
        <v>211</v>
      </c>
    </row>
    <row r="390" spans="1:11" x14ac:dyDescent="0.3">
      <c r="A390" t="s">
        <v>132</v>
      </c>
      <c r="B390" t="s">
        <v>20</v>
      </c>
      <c r="C390" t="s">
        <v>124</v>
      </c>
      <c r="D390" t="s">
        <v>133</v>
      </c>
      <c r="E390">
        <v>2022</v>
      </c>
      <c r="F390" t="s">
        <v>207</v>
      </c>
      <c r="G390" t="s">
        <v>208</v>
      </c>
      <c r="H390">
        <v>1034</v>
      </c>
      <c r="I390" t="s">
        <v>209</v>
      </c>
      <c r="J390" t="s">
        <v>210</v>
      </c>
      <c r="K390" t="s">
        <v>211</v>
      </c>
    </row>
    <row r="391" spans="1:11" x14ac:dyDescent="0.3">
      <c r="A391" t="s">
        <v>134</v>
      </c>
      <c r="B391" t="s">
        <v>20</v>
      </c>
      <c r="C391" t="s">
        <v>124</v>
      </c>
      <c r="D391" t="s">
        <v>135</v>
      </c>
      <c r="E391">
        <v>2022</v>
      </c>
      <c r="F391" t="s">
        <v>207</v>
      </c>
      <c r="G391" t="s">
        <v>208</v>
      </c>
      <c r="H391">
        <v>3716</v>
      </c>
      <c r="I391" t="s">
        <v>209</v>
      </c>
      <c r="J391" t="s">
        <v>210</v>
      </c>
      <c r="K391" t="s">
        <v>211</v>
      </c>
    </row>
    <row r="392" spans="1:11" x14ac:dyDescent="0.3">
      <c r="A392" t="s">
        <v>136</v>
      </c>
      <c r="B392" t="s">
        <v>20</v>
      </c>
      <c r="C392" t="s">
        <v>124</v>
      </c>
      <c r="D392" t="s">
        <v>137</v>
      </c>
      <c r="E392">
        <v>2022</v>
      </c>
      <c r="F392" t="s">
        <v>207</v>
      </c>
      <c r="G392" t="s">
        <v>208</v>
      </c>
      <c r="H392">
        <v>1320</v>
      </c>
      <c r="I392" t="s">
        <v>209</v>
      </c>
      <c r="J392" t="s">
        <v>210</v>
      </c>
      <c r="K392" t="s">
        <v>211</v>
      </c>
    </row>
    <row r="393" spans="1:11" x14ac:dyDescent="0.3">
      <c r="A393" t="s">
        <v>138</v>
      </c>
      <c r="B393" t="s">
        <v>20</v>
      </c>
      <c r="C393" t="s">
        <v>124</v>
      </c>
      <c r="D393" t="s">
        <v>139</v>
      </c>
      <c r="E393">
        <v>2022</v>
      </c>
      <c r="F393" t="s">
        <v>207</v>
      </c>
      <c r="G393" t="s">
        <v>208</v>
      </c>
      <c r="H393">
        <v>21889</v>
      </c>
      <c r="I393" t="s">
        <v>209</v>
      </c>
      <c r="J393" t="s">
        <v>210</v>
      </c>
      <c r="K393" t="s">
        <v>211</v>
      </c>
    </row>
    <row r="394" spans="1:11" x14ac:dyDescent="0.3">
      <c r="A394" t="s">
        <v>140</v>
      </c>
      <c r="B394" t="s">
        <v>20</v>
      </c>
      <c r="C394" t="s">
        <v>124</v>
      </c>
      <c r="D394" t="s">
        <v>141</v>
      </c>
      <c r="E394">
        <v>2022</v>
      </c>
      <c r="F394" t="s">
        <v>207</v>
      </c>
      <c r="G394" t="s">
        <v>208</v>
      </c>
      <c r="H394">
        <v>11333</v>
      </c>
      <c r="I394" t="s">
        <v>209</v>
      </c>
      <c r="J394" t="s">
        <v>210</v>
      </c>
      <c r="K394" t="s">
        <v>211</v>
      </c>
    </row>
    <row r="395" spans="1:11" x14ac:dyDescent="0.3">
      <c r="A395" t="s">
        <v>142</v>
      </c>
      <c r="B395" t="s">
        <v>20</v>
      </c>
      <c r="C395" t="s">
        <v>124</v>
      </c>
      <c r="D395" t="s">
        <v>143</v>
      </c>
      <c r="E395">
        <v>2022</v>
      </c>
      <c r="F395" t="s">
        <v>207</v>
      </c>
      <c r="G395" t="s">
        <v>208</v>
      </c>
      <c r="H395">
        <v>1961</v>
      </c>
      <c r="I395" t="s">
        <v>209</v>
      </c>
      <c r="J395" t="s">
        <v>210</v>
      </c>
      <c r="K395" t="s">
        <v>211</v>
      </c>
    </row>
    <row r="396" spans="1:11" x14ac:dyDescent="0.3">
      <c r="A396" t="s">
        <v>144</v>
      </c>
      <c r="B396" t="s">
        <v>20</v>
      </c>
      <c r="C396" t="s">
        <v>124</v>
      </c>
      <c r="D396" t="s">
        <v>145</v>
      </c>
      <c r="E396">
        <v>2022</v>
      </c>
      <c r="F396" t="s">
        <v>207</v>
      </c>
      <c r="G396" t="s">
        <v>208</v>
      </c>
      <c r="H396">
        <v>2228</v>
      </c>
      <c r="I396" t="s">
        <v>209</v>
      </c>
      <c r="J396" t="s">
        <v>210</v>
      </c>
      <c r="K396" t="s">
        <v>211</v>
      </c>
    </row>
    <row r="397" spans="1:11" x14ac:dyDescent="0.3">
      <c r="A397" t="s">
        <v>146</v>
      </c>
      <c r="B397" t="s">
        <v>20</v>
      </c>
      <c r="C397" t="s">
        <v>124</v>
      </c>
      <c r="D397" t="s">
        <v>147</v>
      </c>
      <c r="E397">
        <v>2022</v>
      </c>
      <c r="F397" t="s">
        <v>207</v>
      </c>
      <c r="G397" t="s">
        <v>208</v>
      </c>
      <c r="H397">
        <v>3030</v>
      </c>
      <c r="I397" t="s">
        <v>209</v>
      </c>
      <c r="J397" t="s">
        <v>210</v>
      </c>
      <c r="K397" t="s">
        <v>211</v>
      </c>
    </row>
    <row r="398" spans="1:11" x14ac:dyDescent="0.3">
      <c r="A398" t="s">
        <v>148</v>
      </c>
      <c r="B398" t="s">
        <v>20</v>
      </c>
      <c r="C398" t="s">
        <v>124</v>
      </c>
      <c r="D398" t="s">
        <v>149</v>
      </c>
      <c r="E398">
        <v>2022</v>
      </c>
      <c r="F398" t="s">
        <v>207</v>
      </c>
      <c r="G398" t="s">
        <v>208</v>
      </c>
      <c r="H398">
        <v>2352</v>
      </c>
      <c r="I398" t="s">
        <v>209</v>
      </c>
      <c r="J398" t="s">
        <v>210</v>
      </c>
      <c r="K398" t="s">
        <v>211</v>
      </c>
    </row>
    <row r="399" spans="1:11" x14ac:dyDescent="0.3">
      <c r="A399" t="s">
        <v>150</v>
      </c>
      <c r="B399" t="s">
        <v>20</v>
      </c>
      <c r="C399" t="s">
        <v>151</v>
      </c>
      <c r="D399" t="s">
        <v>152</v>
      </c>
      <c r="E399">
        <v>2022</v>
      </c>
      <c r="F399" t="s">
        <v>207</v>
      </c>
      <c r="G399" t="s">
        <v>208</v>
      </c>
      <c r="H399">
        <v>84084</v>
      </c>
      <c r="I399" t="s">
        <v>209</v>
      </c>
      <c r="J399" t="s">
        <v>210</v>
      </c>
      <c r="K399" t="s">
        <v>211</v>
      </c>
    </row>
    <row r="400" spans="1:11" x14ac:dyDescent="0.3">
      <c r="A400" t="s">
        <v>153</v>
      </c>
      <c r="B400" t="s">
        <v>20</v>
      </c>
      <c r="C400" t="s">
        <v>151</v>
      </c>
      <c r="D400" t="s">
        <v>154</v>
      </c>
      <c r="E400">
        <v>2022</v>
      </c>
      <c r="F400" t="s">
        <v>207</v>
      </c>
      <c r="G400" t="s">
        <v>208</v>
      </c>
      <c r="H400">
        <v>19702</v>
      </c>
      <c r="I400" t="s">
        <v>209</v>
      </c>
      <c r="J400" t="s">
        <v>210</v>
      </c>
      <c r="K400" t="s">
        <v>211</v>
      </c>
    </row>
    <row r="401" spans="1:11" x14ac:dyDescent="0.3">
      <c r="A401" t="s">
        <v>155</v>
      </c>
      <c r="B401" t="s">
        <v>20</v>
      </c>
      <c r="C401" t="s">
        <v>151</v>
      </c>
      <c r="D401" t="s">
        <v>156</v>
      </c>
      <c r="E401">
        <v>2022</v>
      </c>
      <c r="F401" t="s">
        <v>207</v>
      </c>
      <c r="G401" t="s">
        <v>208</v>
      </c>
      <c r="H401">
        <v>10271</v>
      </c>
      <c r="I401" t="s">
        <v>209</v>
      </c>
      <c r="J401" t="s">
        <v>210</v>
      </c>
      <c r="K401" t="s">
        <v>211</v>
      </c>
    </row>
    <row r="402" spans="1:11" x14ac:dyDescent="0.3">
      <c r="A402" t="s">
        <v>157</v>
      </c>
      <c r="B402" t="s">
        <v>20</v>
      </c>
      <c r="C402" t="s">
        <v>151</v>
      </c>
      <c r="D402" t="s">
        <v>158</v>
      </c>
      <c r="E402">
        <v>2022</v>
      </c>
      <c r="F402" t="s">
        <v>207</v>
      </c>
      <c r="G402" t="s">
        <v>208</v>
      </c>
      <c r="H402">
        <v>8909</v>
      </c>
      <c r="I402" t="s">
        <v>209</v>
      </c>
      <c r="J402" t="s">
        <v>210</v>
      </c>
      <c r="K402" t="s">
        <v>211</v>
      </c>
    </row>
    <row r="403" spans="1:11" x14ac:dyDescent="0.3">
      <c r="A403" t="s">
        <v>159</v>
      </c>
      <c r="B403" t="s">
        <v>20</v>
      </c>
      <c r="C403" t="s">
        <v>151</v>
      </c>
      <c r="D403" t="s">
        <v>160</v>
      </c>
      <c r="E403">
        <v>2022</v>
      </c>
      <c r="F403" t="s">
        <v>207</v>
      </c>
      <c r="G403" t="s">
        <v>208</v>
      </c>
      <c r="H403">
        <v>10927</v>
      </c>
      <c r="I403" t="s">
        <v>209</v>
      </c>
      <c r="J403" t="s">
        <v>210</v>
      </c>
      <c r="K403" t="s">
        <v>211</v>
      </c>
    </row>
    <row r="404" spans="1:11" x14ac:dyDescent="0.3">
      <c r="A404" t="s">
        <v>161</v>
      </c>
      <c r="B404" t="s">
        <v>20</v>
      </c>
      <c r="C404" t="s">
        <v>151</v>
      </c>
      <c r="D404" t="s">
        <v>162</v>
      </c>
      <c r="E404">
        <v>2022</v>
      </c>
      <c r="F404" t="s">
        <v>207</v>
      </c>
      <c r="G404" t="s">
        <v>208</v>
      </c>
      <c r="H404">
        <v>15197</v>
      </c>
      <c r="I404" t="s">
        <v>209</v>
      </c>
      <c r="J404" t="s">
        <v>210</v>
      </c>
      <c r="K404" t="s">
        <v>211</v>
      </c>
    </row>
    <row r="405" spans="1:11" x14ac:dyDescent="0.3">
      <c r="A405" t="s">
        <v>163</v>
      </c>
      <c r="B405" t="s">
        <v>20</v>
      </c>
      <c r="C405" t="s">
        <v>151</v>
      </c>
      <c r="D405" t="s">
        <v>164</v>
      </c>
      <c r="E405">
        <v>2022</v>
      </c>
      <c r="F405" t="s">
        <v>207</v>
      </c>
      <c r="G405" t="s">
        <v>208</v>
      </c>
      <c r="H405">
        <v>10040</v>
      </c>
      <c r="I405" t="s">
        <v>209</v>
      </c>
      <c r="J405" t="s">
        <v>210</v>
      </c>
      <c r="K405" t="s">
        <v>211</v>
      </c>
    </row>
    <row r="406" spans="1:11" x14ac:dyDescent="0.3">
      <c r="A406" t="s">
        <v>165</v>
      </c>
      <c r="B406" t="s">
        <v>20</v>
      </c>
      <c r="C406" t="s">
        <v>151</v>
      </c>
      <c r="D406" t="s">
        <v>166</v>
      </c>
      <c r="E406">
        <v>2022</v>
      </c>
      <c r="F406" t="s">
        <v>207</v>
      </c>
      <c r="G406" t="s">
        <v>208</v>
      </c>
      <c r="H406">
        <v>14654</v>
      </c>
      <c r="I406" t="s">
        <v>209</v>
      </c>
      <c r="J406" t="s">
        <v>210</v>
      </c>
      <c r="K406" t="s">
        <v>211</v>
      </c>
    </row>
    <row r="407" spans="1:11" x14ac:dyDescent="0.3">
      <c r="A407" t="s">
        <v>167</v>
      </c>
      <c r="B407" t="s">
        <v>20</v>
      </c>
      <c r="C407" t="s">
        <v>168</v>
      </c>
      <c r="D407" t="s">
        <v>169</v>
      </c>
      <c r="E407">
        <v>2022</v>
      </c>
      <c r="F407" t="s">
        <v>207</v>
      </c>
      <c r="G407" t="s">
        <v>208</v>
      </c>
      <c r="H407">
        <v>20520</v>
      </c>
      <c r="I407" t="s">
        <v>209</v>
      </c>
      <c r="J407" t="s">
        <v>210</v>
      </c>
      <c r="K407" t="s">
        <v>211</v>
      </c>
    </row>
    <row r="408" spans="1:11" x14ac:dyDescent="0.3">
      <c r="A408" t="s">
        <v>170</v>
      </c>
      <c r="B408" t="s">
        <v>20</v>
      </c>
      <c r="C408" t="s">
        <v>168</v>
      </c>
      <c r="D408" t="s">
        <v>171</v>
      </c>
      <c r="E408">
        <v>2022</v>
      </c>
      <c r="F408" t="s">
        <v>207</v>
      </c>
      <c r="G408" t="s">
        <v>208</v>
      </c>
      <c r="H408">
        <v>4870</v>
      </c>
      <c r="I408" t="s">
        <v>209</v>
      </c>
      <c r="J408" t="s">
        <v>210</v>
      </c>
      <c r="K408" t="s">
        <v>211</v>
      </c>
    </row>
    <row r="409" spans="1:11" x14ac:dyDescent="0.3">
      <c r="A409" t="s">
        <v>172</v>
      </c>
      <c r="B409" t="s">
        <v>20</v>
      </c>
      <c r="C409" t="s">
        <v>168</v>
      </c>
      <c r="D409" t="s">
        <v>173</v>
      </c>
      <c r="E409">
        <v>2022</v>
      </c>
      <c r="F409" t="s">
        <v>207</v>
      </c>
      <c r="G409" t="s">
        <v>208</v>
      </c>
      <c r="H409">
        <v>5685</v>
      </c>
      <c r="I409" t="s">
        <v>209</v>
      </c>
      <c r="J409" t="s">
        <v>210</v>
      </c>
      <c r="K409" t="s">
        <v>211</v>
      </c>
    </row>
    <row r="410" spans="1:11" x14ac:dyDescent="0.3">
      <c r="A410" t="s">
        <v>174</v>
      </c>
      <c r="B410" t="s">
        <v>20</v>
      </c>
      <c r="C410" t="s">
        <v>168</v>
      </c>
      <c r="D410" t="s">
        <v>175</v>
      </c>
      <c r="E410">
        <v>2022</v>
      </c>
      <c r="F410" t="s">
        <v>207</v>
      </c>
      <c r="G410" t="s">
        <v>208</v>
      </c>
      <c r="H410">
        <v>1835</v>
      </c>
      <c r="I410" t="s">
        <v>209</v>
      </c>
      <c r="J410" t="s">
        <v>210</v>
      </c>
      <c r="K410" t="s">
        <v>211</v>
      </c>
    </row>
    <row r="411" spans="1:11" x14ac:dyDescent="0.3">
      <c r="A411" t="s">
        <v>176</v>
      </c>
      <c r="B411" t="s">
        <v>20</v>
      </c>
      <c r="C411" t="s">
        <v>168</v>
      </c>
      <c r="D411" t="s">
        <v>177</v>
      </c>
      <c r="E411">
        <v>2022</v>
      </c>
      <c r="F411" t="s">
        <v>207</v>
      </c>
      <c r="G411" t="s">
        <v>208</v>
      </c>
      <c r="H411">
        <v>2405</v>
      </c>
      <c r="I411" t="s">
        <v>209</v>
      </c>
      <c r="J411" t="s">
        <v>210</v>
      </c>
      <c r="K411" t="s">
        <v>211</v>
      </c>
    </row>
    <row r="412" spans="1:11" x14ac:dyDescent="0.3">
      <c r="A412" t="s">
        <v>178</v>
      </c>
      <c r="B412" t="s">
        <v>20</v>
      </c>
      <c r="C412" t="s">
        <v>168</v>
      </c>
      <c r="D412" t="s">
        <v>179</v>
      </c>
      <c r="E412">
        <v>2022</v>
      </c>
      <c r="F412" t="s">
        <v>207</v>
      </c>
      <c r="G412" t="s">
        <v>208</v>
      </c>
      <c r="H412">
        <v>13698</v>
      </c>
      <c r="I412" t="s">
        <v>209</v>
      </c>
      <c r="J412" t="s">
        <v>210</v>
      </c>
      <c r="K412" t="s">
        <v>211</v>
      </c>
    </row>
    <row r="413" spans="1:11" x14ac:dyDescent="0.3">
      <c r="A413" t="s">
        <v>180</v>
      </c>
      <c r="B413" t="s">
        <v>20</v>
      </c>
      <c r="C413" t="s">
        <v>168</v>
      </c>
      <c r="D413" t="s">
        <v>181</v>
      </c>
      <c r="E413">
        <v>2022</v>
      </c>
      <c r="F413" t="s">
        <v>207</v>
      </c>
      <c r="G413" t="s">
        <v>208</v>
      </c>
      <c r="H413">
        <v>3033</v>
      </c>
      <c r="I413" t="s">
        <v>209</v>
      </c>
      <c r="J413" t="s">
        <v>210</v>
      </c>
      <c r="K413" t="s">
        <v>211</v>
      </c>
    </row>
    <row r="414" spans="1:11" x14ac:dyDescent="0.3">
      <c r="A414" t="s">
        <v>182</v>
      </c>
      <c r="B414" t="s">
        <v>20</v>
      </c>
      <c r="C414" t="s">
        <v>168</v>
      </c>
      <c r="D414" t="s">
        <v>183</v>
      </c>
      <c r="E414">
        <v>2022</v>
      </c>
      <c r="F414" t="s">
        <v>207</v>
      </c>
      <c r="G414" t="s">
        <v>208</v>
      </c>
      <c r="H414">
        <v>3679</v>
      </c>
      <c r="I414" t="s">
        <v>209</v>
      </c>
      <c r="J414" t="s">
        <v>210</v>
      </c>
      <c r="K414" t="s">
        <v>211</v>
      </c>
    </row>
    <row r="415" spans="1:11" x14ac:dyDescent="0.3">
      <c r="A415" t="s">
        <v>184</v>
      </c>
      <c r="B415" t="s">
        <v>20</v>
      </c>
      <c r="C415" t="s">
        <v>185</v>
      </c>
      <c r="D415" t="s">
        <v>186</v>
      </c>
      <c r="E415">
        <v>2022</v>
      </c>
      <c r="F415" t="s">
        <v>207</v>
      </c>
      <c r="G415" t="s">
        <v>208</v>
      </c>
      <c r="H415">
        <v>14381</v>
      </c>
      <c r="I415" t="s">
        <v>209</v>
      </c>
      <c r="J415" t="s">
        <v>210</v>
      </c>
      <c r="K415" t="s">
        <v>211</v>
      </c>
    </row>
    <row r="416" spans="1:11" x14ac:dyDescent="0.3">
      <c r="A416" t="s">
        <v>187</v>
      </c>
      <c r="B416" t="s">
        <v>20</v>
      </c>
      <c r="C416" t="s">
        <v>185</v>
      </c>
      <c r="D416" t="s">
        <v>188</v>
      </c>
      <c r="E416">
        <v>2022</v>
      </c>
      <c r="F416" t="s">
        <v>207</v>
      </c>
      <c r="G416" t="s">
        <v>208</v>
      </c>
      <c r="H416">
        <v>4800</v>
      </c>
      <c r="I416" t="s">
        <v>209</v>
      </c>
      <c r="J416" t="s">
        <v>210</v>
      </c>
      <c r="K416" t="s">
        <v>211</v>
      </c>
    </row>
    <row r="417" spans="1:11" x14ac:dyDescent="0.3">
      <c r="A417" t="s">
        <v>189</v>
      </c>
      <c r="B417" t="s">
        <v>20</v>
      </c>
      <c r="C417" t="s">
        <v>185</v>
      </c>
      <c r="D417" t="s">
        <v>190</v>
      </c>
      <c r="E417">
        <v>2022</v>
      </c>
      <c r="F417" t="s">
        <v>207</v>
      </c>
      <c r="G417" t="s">
        <v>208</v>
      </c>
      <c r="H417">
        <v>2582</v>
      </c>
      <c r="I417" t="s">
        <v>209</v>
      </c>
      <c r="J417" t="s">
        <v>210</v>
      </c>
      <c r="K417" t="s">
        <v>211</v>
      </c>
    </row>
    <row r="418" spans="1:11" x14ac:dyDescent="0.3">
      <c r="A418" t="s">
        <v>191</v>
      </c>
      <c r="B418" t="s">
        <v>20</v>
      </c>
      <c r="C418" t="s">
        <v>185</v>
      </c>
      <c r="D418" t="s">
        <v>192</v>
      </c>
      <c r="E418">
        <v>2022</v>
      </c>
      <c r="F418" t="s">
        <v>207</v>
      </c>
      <c r="G418" t="s">
        <v>208</v>
      </c>
      <c r="H418">
        <v>6405</v>
      </c>
      <c r="I418" t="s">
        <v>209</v>
      </c>
      <c r="J418" t="s">
        <v>210</v>
      </c>
      <c r="K418" t="s">
        <v>211</v>
      </c>
    </row>
    <row r="419" spans="1:11" x14ac:dyDescent="0.3">
      <c r="A419" t="s">
        <v>193</v>
      </c>
      <c r="B419" t="s">
        <v>20</v>
      </c>
      <c r="C419" t="s">
        <v>194</v>
      </c>
      <c r="D419" t="s">
        <v>195</v>
      </c>
      <c r="E419">
        <v>2022</v>
      </c>
      <c r="F419" t="s">
        <v>207</v>
      </c>
      <c r="G419" t="s">
        <v>208</v>
      </c>
      <c r="H419">
        <v>60018</v>
      </c>
      <c r="I419" t="s">
        <v>209</v>
      </c>
      <c r="J419" t="s">
        <v>210</v>
      </c>
      <c r="K419" t="s">
        <v>211</v>
      </c>
    </row>
    <row r="420" spans="1:11" x14ac:dyDescent="0.3">
      <c r="A420" t="s">
        <v>196</v>
      </c>
      <c r="B420" t="s">
        <v>20</v>
      </c>
      <c r="C420" t="s">
        <v>194</v>
      </c>
      <c r="D420" t="s">
        <v>197</v>
      </c>
      <c r="E420">
        <v>2022</v>
      </c>
      <c r="F420" t="s">
        <v>207</v>
      </c>
      <c r="G420" t="s">
        <v>208</v>
      </c>
      <c r="H420">
        <v>41760</v>
      </c>
      <c r="I420" t="s">
        <v>209</v>
      </c>
      <c r="J420" t="s">
        <v>210</v>
      </c>
      <c r="K420" t="s">
        <v>211</v>
      </c>
    </row>
    <row r="421" spans="1:11" x14ac:dyDescent="0.3">
      <c r="A421" t="s">
        <v>198</v>
      </c>
      <c r="B421" t="s">
        <v>20</v>
      </c>
      <c r="C421" t="s">
        <v>194</v>
      </c>
      <c r="D421" t="s">
        <v>199</v>
      </c>
      <c r="E421">
        <v>2022</v>
      </c>
      <c r="F421" t="s">
        <v>207</v>
      </c>
      <c r="G421" t="s">
        <v>208</v>
      </c>
      <c r="H421">
        <v>7882</v>
      </c>
      <c r="I421" t="s">
        <v>209</v>
      </c>
      <c r="J421" t="s">
        <v>210</v>
      </c>
      <c r="K421" t="s">
        <v>211</v>
      </c>
    </row>
    <row r="422" spans="1:11" x14ac:dyDescent="0.3">
      <c r="A422" t="s">
        <v>19</v>
      </c>
      <c r="B422" t="s">
        <v>20</v>
      </c>
      <c r="C422" t="s">
        <v>21</v>
      </c>
      <c r="D422" t="s">
        <v>22</v>
      </c>
      <c r="E422">
        <v>2023</v>
      </c>
      <c r="F422" t="s">
        <v>207</v>
      </c>
      <c r="G422" t="s">
        <v>208</v>
      </c>
      <c r="H422">
        <v>353982</v>
      </c>
      <c r="I422" t="s">
        <v>209</v>
      </c>
      <c r="J422" t="s">
        <v>210</v>
      </c>
      <c r="K422" t="s">
        <v>211</v>
      </c>
    </row>
    <row r="423" spans="1:11" x14ac:dyDescent="0.3">
      <c r="A423" t="s">
        <v>23</v>
      </c>
      <c r="B423" t="s">
        <v>20</v>
      </c>
      <c r="C423" t="s">
        <v>21</v>
      </c>
      <c r="D423" t="s">
        <v>24</v>
      </c>
      <c r="E423">
        <v>2023</v>
      </c>
      <c r="F423" t="s">
        <v>207</v>
      </c>
      <c r="G423" t="s">
        <v>208</v>
      </c>
      <c r="H423">
        <v>129189</v>
      </c>
      <c r="I423" t="s">
        <v>209</v>
      </c>
      <c r="J423" t="s">
        <v>210</v>
      </c>
      <c r="K423" t="s">
        <v>211</v>
      </c>
    </row>
    <row r="424" spans="1:11" x14ac:dyDescent="0.3">
      <c r="A424" t="s">
        <v>25</v>
      </c>
      <c r="B424" t="s">
        <v>20</v>
      </c>
      <c r="C424" t="s">
        <v>21</v>
      </c>
      <c r="D424" t="s">
        <v>26</v>
      </c>
      <c r="E424">
        <v>2023</v>
      </c>
      <c r="F424" t="s">
        <v>207</v>
      </c>
      <c r="G424" t="s">
        <v>208</v>
      </c>
      <c r="H424">
        <v>62844</v>
      </c>
      <c r="I424" t="s">
        <v>209</v>
      </c>
      <c r="J424" t="s">
        <v>210</v>
      </c>
      <c r="K424" t="s">
        <v>211</v>
      </c>
    </row>
    <row r="425" spans="1:11" x14ac:dyDescent="0.3">
      <c r="A425" t="s">
        <v>27</v>
      </c>
      <c r="B425" t="s">
        <v>20</v>
      </c>
      <c r="C425" t="s">
        <v>21</v>
      </c>
      <c r="D425" t="s">
        <v>28</v>
      </c>
      <c r="E425">
        <v>2023</v>
      </c>
      <c r="F425" t="s">
        <v>207</v>
      </c>
      <c r="G425" t="s">
        <v>208</v>
      </c>
      <c r="H425">
        <v>96971</v>
      </c>
      <c r="I425" t="s">
        <v>209</v>
      </c>
      <c r="J425" t="s">
        <v>210</v>
      </c>
      <c r="K425" t="s">
        <v>211</v>
      </c>
    </row>
    <row r="426" spans="1:11" x14ac:dyDescent="0.3">
      <c r="A426" t="s">
        <v>29</v>
      </c>
      <c r="B426" t="s">
        <v>20</v>
      </c>
      <c r="C426" t="s">
        <v>21</v>
      </c>
      <c r="D426" t="s">
        <v>30</v>
      </c>
      <c r="E426">
        <v>2023</v>
      </c>
      <c r="F426" t="s">
        <v>207</v>
      </c>
      <c r="G426" t="s">
        <v>208</v>
      </c>
      <c r="H426">
        <v>239896</v>
      </c>
      <c r="I426" t="s">
        <v>209</v>
      </c>
      <c r="J426" t="s">
        <v>210</v>
      </c>
      <c r="K426" t="s">
        <v>211</v>
      </c>
    </row>
    <row r="427" spans="1:11" x14ac:dyDescent="0.3">
      <c r="A427" t="s">
        <v>31</v>
      </c>
      <c r="B427" t="s">
        <v>20</v>
      </c>
      <c r="C427" t="s">
        <v>21</v>
      </c>
      <c r="D427" t="s">
        <v>32</v>
      </c>
      <c r="E427">
        <v>2023</v>
      </c>
      <c r="F427" t="s">
        <v>207</v>
      </c>
      <c r="G427" t="s">
        <v>208</v>
      </c>
      <c r="H427">
        <v>54577</v>
      </c>
      <c r="I427" t="s">
        <v>209</v>
      </c>
      <c r="J427" t="s">
        <v>210</v>
      </c>
      <c r="K427" t="s">
        <v>211</v>
      </c>
    </row>
    <row r="428" spans="1:11" x14ac:dyDescent="0.3">
      <c r="A428" t="s">
        <v>33</v>
      </c>
      <c r="B428" t="s">
        <v>20</v>
      </c>
      <c r="C428" t="s">
        <v>21</v>
      </c>
      <c r="D428" t="s">
        <v>34</v>
      </c>
      <c r="E428">
        <v>2023</v>
      </c>
      <c r="F428" t="s">
        <v>207</v>
      </c>
      <c r="G428" t="s">
        <v>208</v>
      </c>
      <c r="H428">
        <v>45537</v>
      </c>
      <c r="I428" t="s">
        <v>209</v>
      </c>
      <c r="J428" t="s">
        <v>210</v>
      </c>
      <c r="K428" t="s">
        <v>211</v>
      </c>
    </row>
    <row r="429" spans="1:11" x14ac:dyDescent="0.3">
      <c r="A429" t="s">
        <v>35</v>
      </c>
      <c r="B429" t="s">
        <v>20</v>
      </c>
      <c r="C429" t="s">
        <v>21</v>
      </c>
      <c r="D429" t="s">
        <v>36</v>
      </c>
      <c r="E429">
        <v>2023</v>
      </c>
      <c r="F429" t="s">
        <v>207</v>
      </c>
      <c r="G429" t="s">
        <v>208</v>
      </c>
      <c r="H429">
        <v>3990</v>
      </c>
      <c r="I429" t="s">
        <v>209</v>
      </c>
      <c r="J429" t="s">
        <v>210</v>
      </c>
      <c r="K429" t="s">
        <v>211</v>
      </c>
    </row>
    <row r="430" spans="1:11" x14ac:dyDescent="0.3">
      <c r="A430" t="s">
        <v>37</v>
      </c>
      <c r="B430" t="s">
        <v>20</v>
      </c>
      <c r="C430" t="s">
        <v>21</v>
      </c>
      <c r="D430" t="s">
        <v>38</v>
      </c>
      <c r="E430">
        <v>2023</v>
      </c>
      <c r="F430" t="s">
        <v>207</v>
      </c>
      <c r="G430" t="s">
        <v>208</v>
      </c>
      <c r="H430">
        <v>24643</v>
      </c>
      <c r="I430" t="s">
        <v>209</v>
      </c>
      <c r="J430" t="s">
        <v>210</v>
      </c>
      <c r="K430" t="s">
        <v>211</v>
      </c>
    </row>
    <row r="431" spans="1:11" x14ac:dyDescent="0.3">
      <c r="A431" t="s">
        <v>39</v>
      </c>
      <c r="B431" t="s">
        <v>20</v>
      </c>
      <c r="C431" t="s">
        <v>21</v>
      </c>
      <c r="D431" t="s">
        <v>40</v>
      </c>
      <c r="E431">
        <v>2023</v>
      </c>
      <c r="F431" t="s">
        <v>207</v>
      </c>
      <c r="G431" t="s">
        <v>208</v>
      </c>
      <c r="H431">
        <v>4603</v>
      </c>
      <c r="I431" t="s">
        <v>209</v>
      </c>
      <c r="J431" t="s">
        <v>210</v>
      </c>
      <c r="K431" t="s">
        <v>211</v>
      </c>
    </row>
    <row r="432" spans="1:11" x14ac:dyDescent="0.3">
      <c r="A432" t="s">
        <v>41</v>
      </c>
      <c r="B432" t="s">
        <v>20</v>
      </c>
      <c r="C432" t="s">
        <v>21</v>
      </c>
      <c r="D432" t="s">
        <v>42</v>
      </c>
      <c r="E432">
        <v>2023</v>
      </c>
      <c r="F432" t="s">
        <v>207</v>
      </c>
      <c r="G432" t="s">
        <v>208</v>
      </c>
      <c r="H432">
        <v>82988</v>
      </c>
      <c r="I432" t="s">
        <v>209</v>
      </c>
      <c r="J432" t="s">
        <v>210</v>
      </c>
      <c r="K432" t="s">
        <v>211</v>
      </c>
    </row>
    <row r="433" spans="1:11" x14ac:dyDescent="0.3">
      <c r="A433" t="s">
        <v>43</v>
      </c>
      <c r="B433" t="s">
        <v>20</v>
      </c>
      <c r="C433" t="s">
        <v>21</v>
      </c>
      <c r="D433" t="s">
        <v>44</v>
      </c>
      <c r="E433">
        <v>2023</v>
      </c>
      <c r="F433" t="s">
        <v>207</v>
      </c>
      <c r="G433" t="s">
        <v>208</v>
      </c>
      <c r="H433">
        <v>84323</v>
      </c>
      <c r="I433" t="s">
        <v>209</v>
      </c>
      <c r="J433" t="s">
        <v>210</v>
      </c>
      <c r="K433" t="s">
        <v>211</v>
      </c>
    </row>
    <row r="434" spans="1:11" x14ac:dyDescent="0.3">
      <c r="A434" t="s">
        <v>45</v>
      </c>
      <c r="B434" t="s">
        <v>20</v>
      </c>
      <c r="C434" t="s">
        <v>46</v>
      </c>
      <c r="D434" t="s">
        <v>47</v>
      </c>
      <c r="E434">
        <v>2023</v>
      </c>
      <c r="F434" t="s">
        <v>207</v>
      </c>
      <c r="G434" t="s">
        <v>208</v>
      </c>
      <c r="H434">
        <v>6863</v>
      </c>
      <c r="I434" t="s">
        <v>209</v>
      </c>
      <c r="J434" t="s">
        <v>210</v>
      </c>
      <c r="K434" t="s">
        <v>211</v>
      </c>
    </row>
    <row r="435" spans="1:11" x14ac:dyDescent="0.3">
      <c r="A435" t="s">
        <v>48</v>
      </c>
      <c r="B435" t="s">
        <v>20</v>
      </c>
      <c r="C435" t="s">
        <v>46</v>
      </c>
      <c r="D435" t="s">
        <v>49</v>
      </c>
      <c r="E435">
        <v>2023</v>
      </c>
      <c r="F435" t="s">
        <v>207</v>
      </c>
      <c r="G435" t="s">
        <v>208</v>
      </c>
      <c r="H435">
        <v>16208</v>
      </c>
      <c r="I435" t="s">
        <v>209</v>
      </c>
      <c r="J435" t="s">
        <v>210</v>
      </c>
      <c r="K435" t="s">
        <v>211</v>
      </c>
    </row>
    <row r="436" spans="1:11" x14ac:dyDescent="0.3">
      <c r="A436" t="s">
        <v>50</v>
      </c>
      <c r="B436" t="s">
        <v>20</v>
      </c>
      <c r="C436" t="s">
        <v>46</v>
      </c>
      <c r="D436" t="s">
        <v>51</v>
      </c>
      <c r="E436">
        <v>2023</v>
      </c>
      <c r="F436" t="s">
        <v>207</v>
      </c>
      <c r="G436" t="s">
        <v>208</v>
      </c>
      <c r="H436">
        <v>9791</v>
      </c>
      <c r="I436" t="s">
        <v>209</v>
      </c>
      <c r="J436" t="s">
        <v>210</v>
      </c>
      <c r="K436" t="s">
        <v>211</v>
      </c>
    </row>
    <row r="437" spans="1:11" x14ac:dyDescent="0.3">
      <c r="A437" t="s">
        <v>52</v>
      </c>
      <c r="B437" t="s">
        <v>20</v>
      </c>
      <c r="C437" t="s">
        <v>46</v>
      </c>
      <c r="D437" t="s">
        <v>53</v>
      </c>
      <c r="E437">
        <v>2023</v>
      </c>
      <c r="F437" t="s">
        <v>207</v>
      </c>
      <c r="G437" t="s">
        <v>208</v>
      </c>
      <c r="H437">
        <v>2638</v>
      </c>
      <c r="I437" t="s">
        <v>209</v>
      </c>
      <c r="J437" t="s">
        <v>210</v>
      </c>
      <c r="K437" t="s">
        <v>211</v>
      </c>
    </row>
    <row r="438" spans="1:11" x14ac:dyDescent="0.3">
      <c r="A438" t="s">
        <v>54</v>
      </c>
      <c r="B438" t="s">
        <v>20</v>
      </c>
      <c r="C438" t="s">
        <v>46</v>
      </c>
      <c r="D438" t="s">
        <v>55</v>
      </c>
      <c r="E438">
        <v>2023</v>
      </c>
      <c r="F438" t="s">
        <v>207</v>
      </c>
      <c r="G438" t="s">
        <v>208</v>
      </c>
      <c r="H438">
        <v>30212</v>
      </c>
      <c r="I438" t="s">
        <v>209</v>
      </c>
      <c r="J438" t="s">
        <v>210</v>
      </c>
      <c r="K438" t="s">
        <v>211</v>
      </c>
    </row>
    <row r="439" spans="1:11" x14ac:dyDescent="0.3">
      <c r="A439" t="s">
        <v>56</v>
      </c>
      <c r="B439" t="s">
        <v>20</v>
      </c>
      <c r="C439" t="s">
        <v>46</v>
      </c>
      <c r="D439" t="s">
        <v>57</v>
      </c>
      <c r="E439">
        <v>2023</v>
      </c>
      <c r="F439" t="s">
        <v>207</v>
      </c>
      <c r="G439" t="s">
        <v>208</v>
      </c>
      <c r="H439">
        <v>9632</v>
      </c>
      <c r="I439" t="s">
        <v>209</v>
      </c>
      <c r="J439" t="s">
        <v>210</v>
      </c>
      <c r="K439" t="s">
        <v>211</v>
      </c>
    </row>
    <row r="440" spans="1:11" x14ac:dyDescent="0.3">
      <c r="A440" t="s">
        <v>58</v>
      </c>
      <c r="B440" t="s">
        <v>20</v>
      </c>
      <c r="C440" t="s">
        <v>46</v>
      </c>
      <c r="D440" t="s">
        <v>59</v>
      </c>
      <c r="E440">
        <v>2023</v>
      </c>
      <c r="F440" t="s">
        <v>207</v>
      </c>
      <c r="G440" t="s">
        <v>208</v>
      </c>
      <c r="H440">
        <v>20154</v>
      </c>
      <c r="I440" t="s">
        <v>209</v>
      </c>
      <c r="J440" t="s">
        <v>210</v>
      </c>
      <c r="K440" t="s">
        <v>211</v>
      </c>
    </row>
    <row r="441" spans="1:11" x14ac:dyDescent="0.3">
      <c r="A441" t="s">
        <v>60</v>
      </c>
      <c r="B441" t="s">
        <v>20</v>
      </c>
      <c r="C441" t="s">
        <v>46</v>
      </c>
      <c r="D441" t="s">
        <v>61</v>
      </c>
      <c r="E441">
        <v>2023</v>
      </c>
      <c r="F441" t="s">
        <v>207</v>
      </c>
      <c r="G441" t="s">
        <v>208</v>
      </c>
      <c r="H441">
        <v>29956</v>
      </c>
      <c r="I441" t="s">
        <v>209</v>
      </c>
      <c r="J441" t="s">
        <v>210</v>
      </c>
      <c r="K441" t="s">
        <v>211</v>
      </c>
    </row>
    <row r="442" spans="1:11" x14ac:dyDescent="0.3">
      <c r="A442" t="s">
        <v>62</v>
      </c>
      <c r="B442" t="s">
        <v>20</v>
      </c>
      <c r="C442" t="s">
        <v>63</v>
      </c>
      <c r="D442" t="s">
        <v>64</v>
      </c>
      <c r="E442">
        <v>2023</v>
      </c>
      <c r="F442" t="s">
        <v>207</v>
      </c>
      <c r="G442" t="s">
        <v>208</v>
      </c>
      <c r="H442">
        <v>5100</v>
      </c>
      <c r="I442" t="s">
        <v>209</v>
      </c>
      <c r="J442" t="s">
        <v>210</v>
      </c>
      <c r="K442" t="s">
        <v>211</v>
      </c>
    </row>
    <row r="443" spans="1:11" x14ac:dyDescent="0.3">
      <c r="A443" t="s">
        <v>65</v>
      </c>
      <c r="B443" t="s">
        <v>20</v>
      </c>
      <c r="C443" t="s">
        <v>63</v>
      </c>
      <c r="D443" t="s">
        <v>66</v>
      </c>
      <c r="E443">
        <v>2023</v>
      </c>
      <c r="F443" t="s">
        <v>207</v>
      </c>
      <c r="G443" t="s">
        <v>208</v>
      </c>
      <c r="H443">
        <v>3080</v>
      </c>
      <c r="I443" t="s">
        <v>209</v>
      </c>
      <c r="J443" t="s">
        <v>210</v>
      </c>
      <c r="K443" t="s">
        <v>211</v>
      </c>
    </row>
    <row r="444" spans="1:11" x14ac:dyDescent="0.3">
      <c r="A444" t="s">
        <v>67</v>
      </c>
      <c r="B444" t="s">
        <v>20</v>
      </c>
      <c r="C444" t="s">
        <v>63</v>
      </c>
      <c r="D444" t="s">
        <v>68</v>
      </c>
      <c r="E444">
        <v>2023</v>
      </c>
      <c r="F444" t="s">
        <v>207</v>
      </c>
      <c r="G444" t="s">
        <v>208</v>
      </c>
      <c r="H444">
        <v>2128</v>
      </c>
      <c r="I444" t="s">
        <v>209</v>
      </c>
      <c r="J444" t="s">
        <v>210</v>
      </c>
      <c r="K444" t="s">
        <v>211</v>
      </c>
    </row>
    <row r="445" spans="1:11" x14ac:dyDescent="0.3">
      <c r="A445" t="s">
        <v>69</v>
      </c>
      <c r="B445" t="s">
        <v>20</v>
      </c>
      <c r="C445" t="s">
        <v>63</v>
      </c>
      <c r="D445" t="s">
        <v>70</v>
      </c>
      <c r="E445">
        <v>2023</v>
      </c>
      <c r="F445" t="s">
        <v>207</v>
      </c>
      <c r="G445" t="s">
        <v>208</v>
      </c>
      <c r="H445">
        <v>2362</v>
      </c>
      <c r="I445" t="s">
        <v>209</v>
      </c>
      <c r="J445" t="s">
        <v>210</v>
      </c>
      <c r="K445" t="s">
        <v>211</v>
      </c>
    </row>
    <row r="446" spans="1:11" x14ac:dyDescent="0.3">
      <c r="A446" t="s">
        <v>71</v>
      </c>
      <c r="B446" t="s">
        <v>20</v>
      </c>
      <c r="C446" t="s">
        <v>63</v>
      </c>
      <c r="D446" t="s">
        <v>72</v>
      </c>
      <c r="E446">
        <v>2023</v>
      </c>
      <c r="F446" t="s">
        <v>207</v>
      </c>
      <c r="G446" t="s">
        <v>208</v>
      </c>
      <c r="H446">
        <v>2294</v>
      </c>
      <c r="I446" t="s">
        <v>209</v>
      </c>
      <c r="J446" t="s">
        <v>210</v>
      </c>
      <c r="K446" t="s">
        <v>211</v>
      </c>
    </row>
    <row r="447" spans="1:11" x14ac:dyDescent="0.3">
      <c r="A447" t="s">
        <v>73</v>
      </c>
      <c r="B447" t="s">
        <v>20</v>
      </c>
      <c r="C447" t="s">
        <v>63</v>
      </c>
      <c r="D447" t="s">
        <v>74</v>
      </c>
      <c r="E447">
        <v>2023</v>
      </c>
      <c r="F447" t="s">
        <v>207</v>
      </c>
      <c r="G447" t="s">
        <v>208</v>
      </c>
      <c r="H447">
        <v>895</v>
      </c>
      <c r="I447" t="s">
        <v>209</v>
      </c>
      <c r="J447" t="s">
        <v>210</v>
      </c>
      <c r="K447" t="s">
        <v>211</v>
      </c>
    </row>
    <row r="448" spans="1:11" x14ac:dyDescent="0.3">
      <c r="A448" t="s">
        <v>75</v>
      </c>
      <c r="B448" t="s">
        <v>20</v>
      </c>
      <c r="C448" t="s">
        <v>76</v>
      </c>
      <c r="D448" t="s">
        <v>77</v>
      </c>
      <c r="E448">
        <v>2023</v>
      </c>
      <c r="F448" t="s">
        <v>207</v>
      </c>
      <c r="G448" t="s">
        <v>208</v>
      </c>
      <c r="H448">
        <v>49711</v>
      </c>
      <c r="I448" t="s">
        <v>209</v>
      </c>
      <c r="J448" t="s">
        <v>210</v>
      </c>
      <c r="K448" t="s">
        <v>211</v>
      </c>
    </row>
    <row r="449" spans="1:11" x14ac:dyDescent="0.3">
      <c r="A449" t="s">
        <v>78</v>
      </c>
      <c r="B449" t="s">
        <v>20</v>
      </c>
      <c r="C449" t="s">
        <v>76</v>
      </c>
      <c r="D449" t="s">
        <v>79</v>
      </c>
      <c r="E449">
        <v>2023</v>
      </c>
      <c r="F449" t="s">
        <v>207</v>
      </c>
      <c r="G449" t="s">
        <v>208</v>
      </c>
      <c r="H449">
        <v>26225</v>
      </c>
      <c r="I449" t="s">
        <v>209</v>
      </c>
      <c r="J449" t="s">
        <v>210</v>
      </c>
      <c r="K449" t="s">
        <v>211</v>
      </c>
    </row>
    <row r="450" spans="1:11" x14ac:dyDescent="0.3">
      <c r="A450" t="s">
        <v>80</v>
      </c>
      <c r="B450" t="s">
        <v>20</v>
      </c>
      <c r="C450" t="s">
        <v>76</v>
      </c>
      <c r="D450" t="s">
        <v>81</v>
      </c>
      <c r="E450">
        <v>2023</v>
      </c>
      <c r="F450" t="s">
        <v>207</v>
      </c>
      <c r="G450" t="s">
        <v>208</v>
      </c>
      <c r="H450">
        <v>12891</v>
      </c>
      <c r="I450" t="s">
        <v>209</v>
      </c>
      <c r="J450" t="s">
        <v>210</v>
      </c>
      <c r="K450" t="s">
        <v>211</v>
      </c>
    </row>
    <row r="451" spans="1:11" x14ac:dyDescent="0.3">
      <c r="A451" t="s">
        <v>82</v>
      </c>
      <c r="B451" t="s">
        <v>20</v>
      </c>
      <c r="C451" t="s">
        <v>83</v>
      </c>
      <c r="D451" t="s">
        <v>84</v>
      </c>
      <c r="E451">
        <v>2023</v>
      </c>
      <c r="F451" t="s">
        <v>207</v>
      </c>
      <c r="G451" t="s">
        <v>208</v>
      </c>
      <c r="H451">
        <v>12808</v>
      </c>
      <c r="I451" t="s">
        <v>209</v>
      </c>
      <c r="J451" t="s">
        <v>210</v>
      </c>
      <c r="K451" t="s">
        <v>211</v>
      </c>
    </row>
    <row r="452" spans="1:11" x14ac:dyDescent="0.3">
      <c r="A452" t="s">
        <v>85</v>
      </c>
      <c r="B452" t="s">
        <v>20</v>
      </c>
      <c r="C452" t="s">
        <v>83</v>
      </c>
      <c r="D452" t="s">
        <v>86</v>
      </c>
      <c r="E452">
        <v>2023</v>
      </c>
      <c r="F452" t="s">
        <v>207</v>
      </c>
      <c r="G452" t="s">
        <v>208</v>
      </c>
      <c r="H452">
        <v>4819</v>
      </c>
      <c r="I452" t="s">
        <v>209</v>
      </c>
      <c r="J452" t="s">
        <v>210</v>
      </c>
      <c r="K452" t="s">
        <v>211</v>
      </c>
    </row>
    <row r="453" spans="1:11" x14ac:dyDescent="0.3">
      <c r="A453" t="s">
        <v>87</v>
      </c>
      <c r="B453" t="s">
        <v>20</v>
      </c>
      <c r="C453" t="s">
        <v>83</v>
      </c>
      <c r="D453" t="s">
        <v>88</v>
      </c>
      <c r="E453">
        <v>2023</v>
      </c>
      <c r="F453" t="s">
        <v>207</v>
      </c>
      <c r="G453" t="s">
        <v>208</v>
      </c>
      <c r="H453">
        <v>6931</v>
      </c>
      <c r="I453" t="s">
        <v>209</v>
      </c>
      <c r="J453" t="s">
        <v>210</v>
      </c>
      <c r="K453" t="s">
        <v>211</v>
      </c>
    </row>
    <row r="454" spans="1:11" x14ac:dyDescent="0.3">
      <c r="A454" t="s">
        <v>89</v>
      </c>
      <c r="B454" t="s">
        <v>20</v>
      </c>
      <c r="C454" t="s">
        <v>83</v>
      </c>
      <c r="D454" t="s">
        <v>90</v>
      </c>
      <c r="E454">
        <v>2023</v>
      </c>
      <c r="F454" t="s">
        <v>207</v>
      </c>
      <c r="G454" t="s">
        <v>208</v>
      </c>
      <c r="H454">
        <v>6251</v>
      </c>
      <c r="I454" t="s">
        <v>209</v>
      </c>
      <c r="J454" t="s">
        <v>210</v>
      </c>
      <c r="K454" t="s">
        <v>211</v>
      </c>
    </row>
    <row r="455" spans="1:11" x14ac:dyDescent="0.3">
      <c r="A455" t="s">
        <v>91</v>
      </c>
      <c r="B455" t="s">
        <v>20</v>
      </c>
      <c r="C455" t="s">
        <v>92</v>
      </c>
      <c r="D455" t="s">
        <v>93</v>
      </c>
      <c r="E455">
        <v>2023</v>
      </c>
      <c r="F455" t="s">
        <v>207</v>
      </c>
      <c r="G455" t="s">
        <v>208</v>
      </c>
      <c r="H455">
        <v>27351</v>
      </c>
      <c r="I455" t="s">
        <v>209</v>
      </c>
      <c r="J455" t="s">
        <v>210</v>
      </c>
      <c r="K455" t="s">
        <v>211</v>
      </c>
    </row>
    <row r="456" spans="1:11" x14ac:dyDescent="0.3">
      <c r="A456" t="s">
        <v>94</v>
      </c>
      <c r="B456" t="s">
        <v>20</v>
      </c>
      <c r="C456" t="s">
        <v>92</v>
      </c>
      <c r="D456" t="s">
        <v>95</v>
      </c>
      <c r="E456">
        <v>2023</v>
      </c>
      <c r="F456" t="s">
        <v>207</v>
      </c>
      <c r="G456" t="s">
        <v>208</v>
      </c>
      <c r="H456">
        <v>10610</v>
      </c>
      <c r="I456" t="s">
        <v>209</v>
      </c>
      <c r="J456" t="s">
        <v>210</v>
      </c>
      <c r="K456" t="s">
        <v>211</v>
      </c>
    </row>
    <row r="457" spans="1:11" x14ac:dyDescent="0.3">
      <c r="A457" t="s">
        <v>96</v>
      </c>
      <c r="B457" t="s">
        <v>20</v>
      </c>
      <c r="C457" t="s">
        <v>92</v>
      </c>
      <c r="D457" t="s">
        <v>97</v>
      </c>
      <c r="E457">
        <v>2023</v>
      </c>
      <c r="F457" t="s">
        <v>207</v>
      </c>
      <c r="G457" t="s">
        <v>208</v>
      </c>
      <c r="H457">
        <v>2479</v>
      </c>
      <c r="I457" t="s">
        <v>209</v>
      </c>
      <c r="J457" t="s">
        <v>210</v>
      </c>
      <c r="K457" t="s">
        <v>211</v>
      </c>
    </row>
    <row r="458" spans="1:11" x14ac:dyDescent="0.3">
      <c r="A458" t="s">
        <v>98</v>
      </c>
      <c r="B458" t="s">
        <v>20</v>
      </c>
      <c r="C458" t="s">
        <v>92</v>
      </c>
      <c r="D458" t="s">
        <v>99</v>
      </c>
      <c r="E458">
        <v>2023</v>
      </c>
      <c r="F458" t="s">
        <v>207</v>
      </c>
      <c r="G458" t="s">
        <v>208</v>
      </c>
      <c r="H458">
        <v>3943</v>
      </c>
      <c r="I458" t="s">
        <v>209</v>
      </c>
      <c r="J458" t="s">
        <v>210</v>
      </c>
      <c r="K458" t="s">
        <v>211</v>
      </c>
    </row>
    <row r="459" spans="1:11" x14ac:dyDescent="0.3">
      <c r="A459" t="s">
        <v>100</v>
      </c>
      <c r="B459" t="s">
        <v>20</v>
      </c>
      <c r="C459" t="s">
        <v>92</v>
      </c>
      <c r="D459" t="s">
        <v>101</v>
      </c>
      <c r="E459">
        <v>2023</v>
      </c>
      <c r="F459" t="s">
        <v>207</v>
      </c>
      <c r="G459" t="s">
        <v>208</v>
      </c>
      <c r="H459">
        <v>655</v>
      </c>
      <c r="I459" t="s">
        <v>209</v>
      </c>
      <c r="J459" t="s">
        <v>210</v>
      </c>
      <c r="K459" t="s">
        <v>211</v>
      </c>
    </row>
    <row r="460" spans="1:11" x14ac:dyDescent="0.3">
      <c r="A460" t="s">
        <v>102</v>
      </c>
      <c r="B460" t="s">
        <v>20</v>
      </c>
      <c r="C460" t="s">
        <v>92</v>
      </c>
      <c r="D460" t="s">
        <v>103</v>
      </c>
      <c r="E460">
        <v>2023</v>
      </c>
      <c r="F460" t="s">
        <v>207</v>
      </c>
      <c r="G460" t="s">
        <v>208</v>
      </c>
      <c r="H460">
        <v>2814</v>
      </c>
      <c r="I460" t="s">
        <v>209</v>
      </c>
      <c r="J460" t="s">
        <v>210</v>
      </c>
      <c r="K460" t="s">
        <v>211</v>
      </c>
    </row>
    <row r="461" spans="1:11" x14ac:dyDescent="0.3">
      <c r="A461" t="s">
        <v>104</v>
      </c>
      <c r="B461" t="s">
        <v>20</v>
      </c>
      <c r="C461" t="s">
        <v>92</v>
      </c>
      <c r="D461" t="s">
        <v>105</v>
      </c>
      <c r="E461">
        <v>2023</v>
      </c>
      <c r="F461" t="s">
        <v>207</v>
      </c>
      <c r="G461" t="s">
        <v>208</v>
      </c>
      <c r="H461">
        <v>523</v>
      </c>
      <c r="I461" t="s">
        <v>209</v>
      </c>
      <c r="J461" t="s">
        <v>210</v>
      </c>
      <c r="K461" t="s">
        <v>211</v>
      </c>
    </row>
    <row r="462" spans="1:11" x14ac:dyDescent="0.3">
      <c r="A462" t="s">
        <v>106</v>
      </c>
      <c r="B462" t="s">
        <v>20</v>
      </c>
      <c r="C462" t="s">
        <v>92</v>
      </c>
      <c r="D462" t="s">
        <v>107</v>
      </c>
      <c r="E462">
        <v>2023</v>
      </c>
      <c r="F462" t="s">
        <v>207</v>
      </c>
      <c r="G462" t="s">
        <v>208</v>
      </c>
      <c r="H462">
        <v>6606</v>
      </c>
      <c r="I462" t="s">
        <v>209</v>
      </c>
      <c r="J462" t="s">
        <v>210</v>
      </c>
      <c r="K462" t="s">
        <v>211</v>
      </c>
    </row>
    <row r="463" spans="1:11" x14ac:dyDescent="0.3">
      <c r="A463" t="s">
        <v>108</v>
      </c>
      <c r="B463" t="s">
        <v>20</v>
      </c>
      <c r="C463" t="s">
        <v>92</v>
      </c>
      <c r="D463" t="s">
        <v>109</v>
      </c>
      <c r="E463">
        <v>2023</v>
      </c>
      <c r="F463" t="s">
        <v>207</v>
      </c>
      <c r="G463" t="s">
        <v>208</v>
      </c>
      <c r="H463">
        <v>7422</v>
      </c>
      <c r="I463" t="s">
        <v>209</v>
      </c>
      <c r="J463" t="s">
        <v>210</v>
      </c>
      <c r="K463" t="s">
        <v>211</v>
      </c>
    </row>
    <row r="464" spans="1:11" x14ac:dyDescent="0.3">
      <c r="A464" t="s">
        <v>110</v>
      </c>
      <c r="B464" t="s">
        <v>20</v>
      </c>
      <c r="C464" t="s">
        <v>92</v>
      </c>
      <c r="D464" t="s">
        <v>111</v>
      </c>
      <c r="E464">
        <v>2023</v>
      </c>
      <c r="F464" t="s">
        <v>207</v>
      </c>
      <c r="G464" t="s">
        <v>208</v>
      </c>
      <c r="H464">
        <v>22404</v>
      </c>
      <c r="I464" t="s">
        <v>209</v>
      </c>
      <c r="J464" t="s">
        <v>210</v>
      </c>
      <c r="K464" t="s">
        <v>211</v>
      </c>
    </row>
    <row r="465" spans="1:11" x14ac:dyDescent="0.3">
      <c r="A465" t="s">
        <v>112</v>
      </c>
      <c r="B465" t="s">
        <v>20</v>
      </c>
      <c r="C465" t="s">
        <v>113</v>
      </c>
      <c r="D465" t="s">
        <v>114</v>
      </c>
      <c r="E465">
        <v>2023</v>
      </c>
      <c r="F465" t="s">
        <v>207</v>
      </c>
      <c r="G465" t="s">
        <v>208</v>
      </c>
      <c r="H465">
        <v>20089</v>
      </c>
      <c r="I465" t="s">
        <v>209</v>
      </c>
      <c r="J465" t="s">
        <v>210</v>
      </c>
      <c r="K465" t="s">
        <v>211</v>
      </c>
    </row>
    <row r="466" spans="1:11" x14ac:dyDescent="0.3">
      <c r="A466" t="s">
        <v>115</v>
      </c>
      <c r="B466" t="s">
        <v>20</v>
      </c>
      <c r="C466" t="s">
        <v>113</v>
      </c>
      <c r="D466" t="s">
        <v>116</v>
      </c>
      <c r="E466">
        <v>2023</v>
      </c>
      <c r="F466" t="s">
        <v>207</v>
      </c>
      <c r="G466" t="s">
        <v>208</v>
      </c>
      <c r="H466">
        <v>45626</v>
      </c>
      <c r="I466" t="s">
        <v>209</v>
      </c>
      <c r="J466" t="s">
        <v>210</v>
      </c>
      <c r="K466" t="s">
        <v>211</v>
      </c>
    </row>
    <row r="467" spans="1:11" x14ac:dyDescent="0.3">
      <c r="A467" t="s">
        <v>117</v>
      </c>
      <c r="B467" t="s">
        <v>20</v>
      </c>
      <c r="C467" t="s">
        <v>113</v>
      </c>
      <c r="D467" t="s">
        <v>118</v>
      </c>
      <c r="E467">
        <v>2023</v>
      </c>
      <c r="F467" t="s">
        <v>207</v>
      </c>
      <c r="G467" t="s">
        <v>208</v>
      </c>
      <c r="H467">
        <v>4892</v>
      </c>
      <c r="I467" t="s">
        <v>209</v>
      </c>
      <c r="J467" t="s">
        <v>210</v>
      </c>
      <c r="K467" t="s">
        <v>211</v>
      </c>
    </row>
    <row r="468" spans="1:11" x14ac:dyDescent="0.3">
      <c r="A468" t="s">
        <v>119</v>
      </c>
      <c r="B468" t="s">
        <v>20</v>
      </c>
      <c r="C468" t="s">
        <v>113</v>
      </c>
      <c r="D468" t="s">
        <v>120</v>
      </c>
      <c r="E468">
        <v>2023</v>
      </c>
      <c r="F468" t="s">
        <v>207</v>
      </c>
      <c r="G468" t="s">
        <v>208</v>
      </c>
      <c r="H468">
        <v>33563</v>
      </c>
      <c r="I468" t="s">
        <v>209</v>
      </c>
      <c r="J468" t="s">
        <v>210</v>
      </c>
      <c r="K468" t="s">
        <v>211</v>
      </c>
    </row>
    <row r="469" spans="1:11" x14ac:dyDescent="0.3">
      <c r="A469" t="s">
        <v>121</v>
      </c>
      <c r="B469" t="s">
        <v>20</v>
      </c>
      <c r="C469" t="s">
        <v>113</v>
      </c>
      <c r="D469" t="s">
        <v>122</v>
      </c>
      <c r="E469">
        <v>2023</v>
      </c>
      <c r="F469" t="s">
        <v>207</v>
      </c>
      <c r="G469" t="s">
        <v>208</v>
      </c>
      <c r="H469">
        <v>12959</v>
      </c>
      <c r="I469" t="s">
        <v>209</v>
      </c>
      <c r="J469" t="s">
        <v>210</v>
      </c>
      <c r="K469" t="s">
        <v>211</v>
      </c>
    </row>
    <row r="470" spans="1:11" x14ac:dyDescent="0.3">
      <c r="A470" t="s">
        <v>123</v>
      </c>
      <c r="B470" t="s">
        <v>20</v>
      </c>
      <c r="C470" t="s">
        <v>124</v>
      </c>
      <c r="D470" t="s">
        <v>125</v>
      </c>
      <c r="E470">
        <v>2023</v>
      </c>
      <c r="F470" t="s">
        <v>207</v>
      </c>
      <c r="G470" t="s">
        <v>208</v>
      </c>
      <c r="H470">
        <v>13841</v>
      </c>
      <c r="I470" t="s">
        <v>209</v>
      </c>
      <c r="J470" t="s">
        <v>210</v>
      </c>
      <c r="K470" t="s">
        <v>211</v>
      </c>
    </row>
    <row r="471" spans="1:11" x14ac:dyDescent="0.3">
      <c r="A471" t="s">
        <v>126</v>
      </c>
      <c r="B471" t="s">
        <v>20</v>
      </c>
      <c r="C471" t="s">
        <v>124</v>
      </c>
      <c r="D471" t="s">
        <v>127</v>
      </c>
      <c r="E471">
        <v>2023</v>
      </c>
      <c r="F471" t="s">
        <v>207</v>
      </c>
      <c r="G471" t="s">
        <v>208</v>
      </c>
      <c r="H471">
        <v>4315</v>
      </c>
      <c r="I471" t="s">
        <v>209</v>
      </c>
      <c r="J471" t="s">
        <v>210</v>
      </c>
      <c r="K471" t="s">
        <v>211</v>
      </c>
    </row>
    <row r="472" spans="1:11" x14ac:dyDescent="0.3">
      <c r="A472" t="s">
        <v>128</v>
      </c>
      <c r="B472" t="s">
        <v>20</v>
      </c>
      <c r="C472" t="s">
        <v>124</v>
      </c>
      <c r="D472" t="s">
        <v>129</v>
      </c>
      <c r="E472">
        <v>2023</v>
      </c>
      <c r="F472" t="s">
        <v>207</v>
      </c>
      <c r="G472" t="s">
        <v>208</v>
      </c>
      <c r="H472">
        <v>13264</v>
      </c>
      <c r="I472" t="s">
        <v>209</v>
      </c>
      <c r="J472" t="s">
        <v>210</v>
      </c>
      <c r="K472" t="s">
        <v>211</v>
      </c>
    </row>
    <row r="473" spans="1:11" x14ac:dyDescent="0.3">
      <c r="A473" t="s">
        <v>130</v>
      </c>
      <c r="B473" t="s">
        <v>20</v>
      </c>
      <c r="C473" t="s">
        <v>124</v>
      </c>
      <c r="D473" t="s">
        <v>131</v>
      </c>
      <c r="E473">
        <v>2023</v>
      </c>
      <c r="F473" t="s">
        <v>207</v>
      </c>
      <c r="G473" t="s">
        <v>208</v>
      </c>
      <c r="H473">
        <v>6114</v>
      </c>
      <c r="I473" t="s">
        <v>209</v>
      </c>
      <c r="J473" t="s">
        <v>210</v>
      </c>
      <c r="K473" t="s">
        <v>211</v>
      </c>
    </row>
    <row r="474" spans="1:11" x14ac:dyDescent="0.3">
      <c r="A474" t="s">
        <v>132</v>
      </c>
      <c r="B474" t="s">
        <v>20</v>
      </c>
      <c r="C474" t="s">
        <v>124</v>
      </c>
      <c r="D474" t="s">
        <v>133</v>
      </c>
      <c r="E474">
        <v>2023</v>
      </c>
      <c r="F474" t="s">
        <v>207</v>
      </c>
      <c r="G474" t="s">
        <v>208</v>
      </c>
      <c r="H474">
        <v>1004</v>
      </c>
      <c r="I474" t="s">
        <v>209</v>
      </c>
      <c r="J474" t="s">
        <v>210</v>
      </c>
      <c r="K474" t="s">
        <v>211</v>
      </c>
    </row>
    <row r="475" spans="1:11" x14ac:dyDescent="0.3">
      <c r="A475" t="s">
        <v>134</v>
      </c>
      <c r="B475" t="s">
        <v>20</v>
      </c>
      <c r="C475" t="s">
        <v>124</v>
      </c>
      <c r="D475" t="s">
        <v>135</v>
      </c>
      <c r="E475">
        <v>2023</v>
      </c>
      <c r="F475" t="s">
        <v>207</v>
      </c>
      <c r="G475" t="s">
        <v>208</v>
      </c>
      <c r="H475">
        <v>3699</v>
      </c>
      <c r="I475" t="s">
        <v>209</v>
      </c>
      <c r="J475" t="s">
        <v>210</v>
      </c>
      <c r="K475" t="s">
        <v>211</v>
      </c>
    </row>
    <row r="476" spans="1:11" x14ac:dyDescent="0.3">
      <c r="A476" t="s">
        <v>136</v>
      </c>
      <c r="B476" t="s">
        <v>20</v>
      </c>
      <c r="C476" t="s">
        <v>124</v>
      </c>
      <c r="D476" t="s">
        <v>137</v>
      </c>
      <c r="E476">
        <v>2023</v>
      </c>
      <c r="F476" t="s">
        <v>207</v>
      </c>
      <c r="G476" t="s">
        <v>208</v>
      </c>
      <c r="H476">
        <v>1305</v>
      </c>
      <c r="I476" t="s">
        <v>209</v>
      </c>
      <c r="J476" t="s">
        <v>210</v>
      </c>
      <c r="K476" t="s">
        <v>211</v>
      </c>
    </row>
    <row r="477" spans="1:11" x14ac:dyDescent="0.3">
      <c r="A477" t="s">
        <v>138</v>
      </c>
      <c r="B477" t="s">
        <v>20</v>
      </c>
      <c r="C477" t="s">
        <v>124</v>
      </c>
      <c r="D477" t="s">
        <v>139</v>
      </c>
      <c r="E477">
        <v>2023</v>
      </c>
      <c r="F477" t="s">
        <v>207</v>
      </c>
      <c r="G477" t="s">
        <v>208</v>
      </c>
      <c r="H477">
        <v>22160</v>
      </c>
      <c r="I477" t="s">
        <v>209</v>
      </c>
      <c r="J477" t="s">
        <v>210</v>
      </c>
      <c r="K477" t="s">
        <v>211</v>
      </c>
    </row>
    <row r="478" spans="1:11" x14ac:dyDescent="0.3">
      <c r="A478" t="s">
        <v>140</v>
      </c>
      <c r="B478" t="s">
        <v>20</v>
      </c>
      <c r="C478" t="s">
        <v>124</v>
      </c>
      <c r="D478" t="s">
        <v>141</v>
      </c>
      <c r="E478">
        <v>2023</v>
      </c>
      <c r="F478" t="s">
        <v>207</v>
      </c>
      <c r="G478" t="s">
        <v>208</v>
      </c>
      <c r="H478">
        <v>11536</v>
      </c>
      <c r="I478" t="s">
        <v>209</v>
      </c>
      <c r="J478" t="s">
        <v>210</v>
      </c>
      <c r="K478" t="s">
        <v>211</v>
      </c>
    </row>
    <row r="479" spans="1:11" x14ac:dyDescent="0.3">
      <c r="A479" t="s">
        <v>142</v>
      </c>
      <c r="B479" t="s">
        <v>20</v>
      </c>
      <c r="C479" t="s">
        <v>124</v>
      </c>
      <c r="D479" t="s">
        <v>143</v>
      </c>
      <c r="E479">
        <v>2023</v>
      </c>
      <c r="F479" t="s">
        <v>207</v>
      </c>
      <c r="G479" t="s">
        <v>208</v>
      </c>
      <c r="H479">
        <v>1984</v>
      </c>
      <c r="I479" t="s">
        <v>209</v>
      </c>
      <c r="J479" t="s">
        <v>210</v>
      </c>
      <c r="K479" t="s">
        <v>211</v>
      </c>
    </row>
    <row r="480" spans="1:11" x14ac:dyDescent="0.3">
      <c r="A480" t="s">
        <v>144</v>
      </c>
      <c r="B480" t="s">
        <v>20</v>
      </c>
      <c r="C480" t="s">
        <v>124</v>
      </c>
      <c r="D480" t="s">
        <v>145</v>
      </c>
      <c r="E480">
        <v>2023</v>
      </c>
      <c r="F480" t="s">
        <v>207</v>
      </c>
      <c r="G480" t="s">
        <v>208</v>
      </c>
      <c r="H480">
        <v>2206</v>
      </c>
      <c r="I480" t="s">
        <v>209</v>
      </c>
      <c r="J480" t="s">
        <v>210</v>
      </c>
      <c r="K480" t="s">
        <v>211</v>
      </c>
    </row>
    <row r="481" spans="1:11" x14ac:dyDescent="0.3">
      <c r="A481" t="s">
        <v>146</v>
      </c>
      <c r="B481" t="s">
        <v>20</v>
      </c>
      <c r="C481" t="s">
        <v>124</v>
      </c>
      <c r="D481" t="s">
        <v>147</v>
      </c>
      <c r="E481">
        <v>2023</v>
      </c>
      <c r="F481" t="s">
        <v>207</v>
      </c>
      <c r="G481" t="s">
        <v>208</v>
      </c>
      <c r="H481">
        <v>3029</v>
      </c>
      <c r="I481" t="s">
        <v>209</v>
      </c>
      <c r="J481" t="s">
        <v>210</v>
      </c>
      <c r="K481" t="s">
        <v>211</v>
      </c>
    </row>
    <row r="482" spans="1:11" x14ac:dyDescent="0.3">
      <c r="A482" t="s">
        <v>148</v>
      </c>
      <c r="B482" t="s">
        <v>20</v>
      </c>
      <c r="C482" t="s">
        <v>124</v>
      </c>
      <c r="D482" t="s">
        <v>149</v>
      </c>
      <c r="E482">
        <v>2023</v>
      </c>
      <c r="F482" t="s">
        <v>207</v>
      </c>
      <c r="G482" t="s">
        <v>208</v>
      </c>
      <c r="H482">
        <v>2327</v>
      </c>
      <c r="I482" t="s">
        <v>209</v>
      </c>
      <c r="J482" t="s">
        <v>210</v>
      </c>
      <c r="K482" t="s">
        <v>211</v>
      </c>
    </row>
    <row r="483" spans="1:11" x14ac:dyDescent="0.3">
      <c r="A483" t="s">
        <v>150</v>
      </c>
      <c r="B483" t="s">
        <v>20</v>
      </c>
      <c r="C483" t="s">
        <v>151</v>
      </c>
      <c r="D483" t="s">
        <v>152</v>
      </c>
      <c r="E483">
        <v>2023</v>
      </c>
      <c r="F483" t="s">
        <v>207</v>
      </c>
      <c r="G483" t="s">
        <v>208</v>
      </c>
      <c r="H483">
        <v>85980</v>
      </c>
      <c r="I483" t="s">
        <v>209</v>
      </c>
      <c r="J483" t="s">
        <v>210</v>
      </c>
      <c r="K483" t="s">
        <v>211</v>
      </c>
    </row>
    <row r="484" spans="1:11" x14ac:dyDescent="0.3">
      <c r="A484" t="s">
        <v>153</v>
      </c>
      <c r="B484" t="s">
        <v>20</v>
      </c>
      <c r="C484" t="s">
        <v>151</v>
      </c>
      <c r="D484" t="s">
        <v>154</v>
      </c>
      <c r="E484">
        <v>2023</v>
      </c>
      <c r="F484" t="s">
        <v>207</v>
      </c>
      <c r="G484" t="s">
        <v>208</v>
      </c>
      <c r="H484">
        <v>19809</v>
      </c>
      <c r="I484" t="s">
        <v>209</v>
      </c>
      <c r="J484" t="s">
        <v>210</v>
      </c>
      <c r="K484" t="s">
        <v>211</v>
      </c>
    </row>
    <row r="485" spans="1:11" x14ac:dyDescent="0.3">
      <c r="A485" t="s">
        <v>155</v>
      </c>
      <c r="B485" t="s">
        <v>20</v>
      </c>
      <c r="C485" t="s">
        <v>151</v>
      </c>
      <c r="D485" t="s">
        <v>156</v>
      </c>
      <c r="E485">
        <v>2023</v>
      </c>
      <c r="F485" t="s">
        <v>207</v>
      </c>
      <c r="G485" t="s">
        <v>208</v>
      </c>
      <c r="H485">
        <v>10339</v>
      </c>
      <c r="I485" t="s">
        <v>209</v>
      </c>
      <c r="J485" t="s">
        <v>210</v>
      </c>
      <c r="K485" t="s">
        <v>211</v>
      </c>
    </row>
    <row r="486" spans="1:11" x14ac:dyDescent="0.3">
      <c r="A486" t="s">
        <v>157</v>
      </c>
      <c r="B486" t="s">
        <v>20</v>
      </c>
      <c r="C486" t="s">
        <v>151</v>
      </c>
      <c r="D486" t="s">
        <v>158</v>
      </c>
      <c r="E486">
        <v>2023</v>
      </c>
      <c r="F486" t="s">
        <v>207</v>
      </c>
      <c r="G486" t="s">
        <v>208</v>
      </c>
      <c r="H486">
        <v>8939</v>
      </c>
      <c r="I486" t="s">
        <v>209</v>
      </c>
      <c r="J486" t="s">
        <v>210</v>
      </c>
      <c r="K486" t="s">
        <v>211</v>
      </c>
    </row>
    <row r="487" spans="1:11" x14ac:dyDescent="0.3">
      <c r="A487" t="s">
        <v>159</v>
      </c>
      <c r="B487" t="s">
        <v>20</v>
      </c>
      <c r="C487" t="s">
        <v>151</v>
      </c>
      <c r="D487" t="s">
        <v>160</v>
      </c>
      <c r="E487">
        <v>2023</v>
      </c>
      <c r="F487" t="s">
        <v>207</v>
      </c>
      <c r="G487" t="s">
        <v>208</v>
      </c>
      <c r="H487">
        <v>10677</v>
      </c>
      <c r="I487" t="s">
        <v>209</v>
      </c>
      <c r="J487" t="s">
        <v>210</v>
      </c>
      <c r="K487" t="s">
        <v>211</v>
      </c>
    </row>
    <row r="488" spans="1:11" x14ac:dyDescent="0.3">
      <c r="A488" t="s">
        <v>161</v>
      </c>
      <c r="B488" t="s">
        <v>20</v>
      </c>
      <c r="C488" t="s">
        <v>151</v>
      </c>
      <c r="D488" t="s">
        <v>162</v>
      </c>
      <c r="E488">
        <v>2023</v>
      </c>
      <c r="F488" t="s">
        <v>207</v>
      </c>
      <c r="G488" t="s">
        <v>208</v>
      </c>
      <c r="H488">
        <v>15296</v>
      </c>
      <c r="I488" t="s">
        <v>209</v>
      </c>
      <c r="J488" t="s">
        <v>210</v>
      </c>
      <c r="K488" t="s">
        <v>211</v>
      </c>
    </row>
    <row r="489" spans="1:11" x14ac:dyDescent="0.3">
      <c r="A489" t="s">
        <v>163</v>
      </c>
      <c r="B489" t="s">
        <v>20</v>
      </c>
      <c r="C489" t="s">
        <v>151</v>
      </c>
      <c r="D489" t="s">
        <v>164</v>
      </c>
      <c r="E489">
        <v>2023</v>
      </c>
      <c r="F489" t="s">
        <v>207</v>
      </c>
      <c r="G489" t="s">
        <v>208</v>
      </c>
      <c r="H489">
        <v>10077</v>
      </c>
      <c r="I489" t="s">
        <v>209</v>
      </c>
      <c r="J489" t="s">
        <v>210</v>
      </c>
      <c r="K489" t="s">
        <v>211</v>
      </c>
    </row>
    <row r="490" spans="1:11" x14ac:dyDescent="0.3">
      <c r="A490" t="s">
        <v>165</v>
      </c>
      <c r="B490" t="s">
        <v>20</v>
      </c>
      <c r="C490" t="s">
        <v>151</v>
      </c>
      <c r="D490" t="s">
        <v>166</v>
      </c>
      <c r="E490">
        <v>2023</v>
      </c>
      <c r="F490" t="s">
        <v>207</v>
      </c>
      <c r="G490" t="s">
        <v>208</v>
      </c>
      <c r="H490">
        <v>14744</v>
      </c>
      <c r="I490" t="s">
        <v>209</v>
      </c>
      <c r="J490" t="s">
        <v>210</v>
      </c>
      <c r="K490" t="s">
        <v>211</v>
      </c>
    </row>
    <row r="491" spans="1:11" x14ac:dyDescent="0.3">
      <c r="A491" t="s">
        <v>167</v>
      </c>
      <c r="B491" t="s">
        <v>20</v>
      </c>
      <c r="C491" t="s">
        <v>168</v>
      </c>
      <c r="D491" t="s">
        <v>169</v>
      </c>
      <c r="E491">
        <v>2023</v>
      </c>
      <c r="F491" t="s">
        <v>207</v>
      </c>
      <c r="G491" t="s">
        <v>208</v>
      </c>
      <c r="H491">
        <v>20570</v>
      </c>
      <c r="I491" t="s">
        <v>209</v>
      </c>
      <c r="J491" t="s">
        <v>210</v>
      </c>
      <c r="K491" t="s">
        <v>211</v>
      </c>
    </row>
    <row r="492" spans="1:11" x14ac:dyDescent="0.3">
      <c r="A492" t="s">
        <v>170</v>
      </c>
      <c r="B492" t="s">
        <v>20</v>
      </c>
      <c r="C492" t="s">
        <v>168</v>
      </c>
      <c r="D492" t="s">
        <v>171</v>
      </c>
      <c r="E492">
        <v>2023</v>
      </c>
      <c r="F492" t="s">
        <v>207</v>
      </c>
      <c r="G492" t="s">
        <v>208</v>
      </c>
      <c r="H492">
        <v>4803</v>
      </c>
      <c r="I492" t="s">
        <v>209</v>
      </c>
      <c r="J492" t="s">
        <v>210</v>
      </c>
      <c r="K492" t="s">
        <v>211</v>
      </c>
    </row>
    <row r="493" spans="1:11" x14ac:dyDescent="0.3">
      <c r="A493" t="s">
        <v>172</v>
      </c>
      <c r="B493" t="s">
        <v>20</v>
      </c>
      <c r="C493" t="s">
        <v>168</v>
      </c>
      <c r="D493" t="s">
        <v>173</v>
      </c>
      <c r="E493">
        <v>2023</v>
      </c>
      <c r="F493" t="s">
        <v>207</v>
      </c>
      <c r="G493" t="s">
        <v>208</v>
      </c>
      <c r="H493">
        <v>5625</v>
      </c>
      <c r="I493" t="s">
        <v>209</v>
      </c>
      <c r="J493" t="s">
        <v>210</v>
      </c>
      <c r="K493" t="s">
        <v>211</v>
      </c>
    </row>
    <row r="494" spans="1:11" x14ac:dyDescent="0.3">
      <c r="A494" t="s">
        <v>174</v>
      </c>
      <c r="B494" t="s">
        <v>20</v>
      </c>
      <c r="C494" t="s">
        <v>168</v>
      </c>
      <c r="D494" t="s">
        <v>175</v>
      </c>
      <c r="E494">
        <v>2023</v>
      </c>
      <c r="F494" t="s">
        <v>207</v>
      </c>
      <c r="G494" t="s">
        <v>208</v>
      </c>
      <c r="H494">
        <v>1829</v>
      </c>
      <c r="I494" t="s">
        <v>209</v>
      </c>
      <c r="J494" t="s">
        <v>210</v>
      </c>
      <c r="K494" t="s">
        <v>211</v>
      </c>
    </row>
    <row r="495" spans="1:11" x14ac:dyDescent="0.3">
      <c r="A495" t="s">
        <v>176</v>
      </c>
      <c r="B495" t="s">
        <v>20</v>
      </c>
      <c r="C495" t="s">
        <v>168</v>
      </c>
      <c r="D495" t="s">
        <v>177</v>
      </c>
      <c r="E495">
        <v>2023</v>
      </c>
      <c r="F495" t="s">
        <v>207</v>
      </c>
      <c r="G495" t="s">
        <v>208</v>
      </c>
      <c r="H495">
        <v>2384</v>
      </c>
      <c r="I495" t="s">
        <v>209</v>
      </c>
      <c r="J495" t="s">
        <v>210</v>
      </c>
      <c r="K495" t="s">
        <v>211</v>
      </c>
    </row>
    <row r="496" spans="1:11" x14ac:dyDescent="0.3">
      <c r="A496" t="s">
        <v>178</v>
      </c>
      <c r="B496" t="s">
        <v>20</v>
      </c>
      <c r="C496" t="s">
        <v>168</v>
      </c>
      <c r="D496" t="s">
        <v>179</v>
      </c>
      <c r="E496">
        <v>2023</v>
      </c>
      <c r="F496" t="s">
        <v>207</v>
      </c>
      <c r="G496" t="s">
        <v>208</v>
      </c>
      <c r="H496">
        <v>13678</v>
      </c>
      <c r="I496" t="s">
        <v>209</v>
      </c>
      <c r="J496" t="s">
        <v>210</v>
      </c>
      <c r="K496" t="s">
        <v>211</v>
      </c>
    </row>
    <row r="497" spans="1:11" x14ac:dyDescent="0.3">
      <c r="A497" t="s">
        <v>180</v>
      </c>
      <c r="B497" t="s">
        <v>20</v>
      </c>
      <c r="C497" t="s">
        <v>168</v>
      </c>
      <c r="D497" t="s">
        <v>181</v>
      </c>
      <c r="E497">
        <v>2023</v>
      </c>
      <c r="F497" t="s">
        <v>207</v>
      </c>
      <c r="G497" t="s">
        <v>208</v>
      </c>
      <c r="H497">
        <v>3021</v>
      </c>
      <c r="I497" t="s">
        <v>209</v>
      </c>
      <c r="J497" t="s">
        <v>210</v>
      </c>
      <c r="K497" t="s">
        <v>211</v>
      </c>
    </row>
    <row r="498" spans="1:11" x14ac:dyDescent="0.3">
      <c r="A498" t="s">
        <v>182</v>
      </c>
      <c r="B498" t="s">
        <v>20</v>
      </c>
      <c r="C498" t="s">
        <v>168</v>
      </c>
      <c r="D498" t="s">
        <v>183</v>
      </c>
      <c r="E498">
        <v>2023</v>
      </c>
      <c r="F498" t="s">
        <v>207</v>
      </c>
      <c r="G498" t="s">
        <v>208</v>
      </c>
      <c r="H498">
        <v>3674</v>
      </c>
      <c r="I498" t="s">
        <v>209</v>
      </c>
      <c r="J498" t="s">
        <v>210</v>
      </c>
      <c r="K498" t="s">
        <v>211</v>
      </c>
    </row>
    <row r="499" spans="1:11" x14ac:dyDescent="0.3">
      <c r="A499" t="s">
        <v>184</v>
      </c>
      <c r="B499" t="s">
        <v>20</v>
      </c>
      <c r="C499" t="s">
        <v>185</v>
      </c>
      <c r="D499" t="s">
        <v>186</v>
      </c>
      <c r="E499">
        <v>2023</v>
      </c>
      <c r="F499" t="s">
        <v>207</v>
      </c>
      <c r="G499" t="s">
        <v>208</v>
      </c>
      <c r="H499">
        <v>14407</v>
      </c>
      <c r="I499" t="s">
        <v>209</v>
      </c>
      <c r="J499" t="s">
        <v>210</v>
      </c>
      <c r="K499" t="s">
        <v>211</v>
      </c>
    </row>
    <row r="500" spans="1:11" x14ac:dyDescent="0.3">
      <c r="A500" t="s">
        <v>187</v>
      </c>
      <c r="B500" t="s">
        <v>20</v>
      </c>
      <c r="C500" t="s">
        <v>185</v>
      </c>
      <c r="D500" t="s">
        <v>188</v>
      </c>
      <c r="E500">
        <v>2023</v>
      </c>
      <c r="F500" t="s">
        <v>207</v>
      </c>
      <c r="G500" t="s">
        <v>208</v>
      </c>
      <c r="H500">
        <v>4752</v>
      </c>
      <c r="I500" t="s">
        <v>209</v>
      </c>
      <c r="J500" t="s">
        <v>210</v>
      </c>
      <c r="K500" t="s">
        <v>211</v>
      </c>
    </row>
    <row r="501" spans="1:11" x14ac:dyDescent="0.3">
      <c r="A501" t="s">
        <v>189</v>
      </c>
      <c r="B501" t="s">
        <v>20</v>
      </c>
      <c r="C501" t="s">
        <v>185</v>
      </c>
      <c r="D501" t="s">
        <v>190</v>
      </c>
      <c r="E501">
        <v>2023</v>
      </c>
      <c r="F501" t="s">
        <v>207</v>
      </c>
      <c r="G501" t="s">
        <v>208</v>
      </c>
      <c r="H501">
        <v>2594</v>
      </c>
      <c r="I501" t="s">
        <v>209</v>
      </c>
      <c r="J501" t="s">
        <v>210</v>
      </c>
      <c r="K501" t="s">
        <v>211</v>
      </c>
    </row>
    <row r="502" spans="1:11" x14ac:dyDescent="0.3">
      <c r="A502" t="s">
        <v>191</v>
      </c>
      <c r="B502" t="s">
        <v>20</v>
      </c>
      <c r="C502" t="s">
        <v>185</v>
      </c>
      <c r="D502" t="s">
        <v>192</v>
      </c>
      <c r="E502">
        <v>2023</v>
      </c>
      <c r="F502" t="s">
        <v>207</v>
      </c>
      <c r="G502" t="s">
        <v>208</v>
      </c>
      <c r="H502">
        <v>6328</v>
      </c>
      <c r="I502" t="s">
        <v>209</v>
      </c>
      <c r="J502" t="s">
        <v>210</v>
      </c>
      <c r="K502" t="s">
        <v>211</v>
      </c>
    </row>
    <row r="503" spans="1:11" x14ac:dyDescent="0.3">
      <c r="A503" t="s">
        <v>193</v>
      </c>
      <c r="B503" t="s">
        <v>20</v>
      </c>
      <c r="C503" t="s">
        <v>194</v>
      </c>
      <c r="D503" t="s">
        <v>195</v>
      </c>
      <c r="E503">
        <v>2023</v>
      </c>
      <c r="F503" t="s">
        <v>207</v>
      </c>
      <c r="G503" t="s">
        <v>208</v>
      </c>
      <c r="H503">
        <v>60685</v>
      </c>
      <c r="I503" t="s">
        <v>209</v>
      </c>
      <c r="J503" t="s">
        <v>210</v>
      </c>
      <c r="K503" t="s">
        <v>211</v>
      </c>
    </row>
    <row r="504" spans="1:11" x14ac:dyDescent="0.3">
      <c r="A504" t="s">
        <v>196</v>
      </c>
      <c r="B504" t="s">
        <v>20</v>
      </c>
      <c r="C504" t="s">
        <v>194</v>
      </c>
      <c r="D504" t="s">
        <v>197</v>
      </c>
      <c r="E504">
        <v>2023</v>
      </c>
      <c r="F504" t="s">
        <v>207</v>
      </c>
      <c r="G504" t="s">
        <v>208</v>
      </c>
      <c r="H504">
        <v>42857</v>
      </c>
      <c r="I504" t="s">
        <v>209</v>
      </c>
      <c r="J504" t="s">
        <v>210</v>
      </c>
      <c r="K504" t="s">
        <v>211</v>
      </c>
    </row>
    <row r="505" spans="1:11" x14ac:dyDescent="0.3">
      <c r="A505" t="s">
        <v>198</v>
      </c>
      <c r="B505" t="s">
        <v>20</v>
      </c>
      <c r="C505" t="s">
        <v>194</v>
      </c>
      <c r="D505" t="s">
        <v>199</v>
      </c>
      <c r="E505">
        <v>2023</v>
      </c>
      <c r="F505" t="s">
        <v>207</v>
      </c>
      <c r="G505" t="s">
        <v>208</v>
      </c>
      <c r="H505">
        <v>7974</v>
      </c>
      <c r="I505" t="s">
        <v>209</v>
      </c>
      <c r="J505" t="s">
        <v>210</v>
      </c>
      <c r="K505" t="s">
        <v>211</v>
      </c>
    </row>
    <row r="506" spans="1:11" x14ac:dyDescent="0.3">
      <c r="A506" t="s">
        <v>19</v>
      </c>
      <c r="B506" t="s">
        <v>20</v>
      </c>
      <c r="C506" t="s">
        <v>21</v>
      </c>
      <c r="D506" t="s">
        <v>22</v>
      </c>
      <c r="E506">
        <v>2024</v>
      </c>
      <c r="F506" t="s">
        <v>207</v>
      </c>
      <c r="G506" t="s">
        <v>208</v>
      </c>
      <c r="H506">
        <v>356985</v>
      </c>
      <c r="I506" t="s">
        <v>209</v>
      </c>
      <c r="J506" t="s">
        <v>210</v>
      </c>
      <c r="K506" t="s">
        <v>211</v>
      </c>
    </row>
    <row r="507" spans="1:11" x14ac:dyDescent="0.3">
      <c r="A507" t="s">
        <v>23</v>
      </c>
      <c r="B507" t="s">
        <v>20</v>
      </c>
      <c r="C507" t="s">
        <v>21</v>
      </c>
      <c r="D507" t="s">
        <v>24</v>
      </c>
      <c r="E507">
        <v>2024</v>
      </c>
      <c r="F507" t="s">
        <v>207</v>
      </c>
      <c r="G507" t="s">
        <v>208</v>
      </c>
      <c r="H507">
        <v>131727</v>
      </c>
      <c r="I507" t="s">
        <v>209</v>
      </c>
      <c r="J507" t="s">
        <v>210</v>
      </c>
      <c r="K507" t="s">
        <v>211</v>
      </c>
    </row>
    <row r="508" spans="1:11" x14ac:dyDescent="0.3">
      <c r="A508" t="s">
        <v>25</v>
      </c>
      <c r="B508" t="s">
        <v>20</v>
      </c>
      <c r="C508" t="s">
        <v>21</v>
      </c>
      <c r="D508" t="s">
        <v>26</v>
      </c>
      <c r="E508">
        <v>2024</v>
      </c>
      <c r="F508" t="s">
        <v>207</v>
      </c>
      <c r="G508" t="s">
        <v>208</v>
      </c>
      <c r="H508">
        <v>64079</v>
      </c>
      <c r="I508" t="s">
        <v>209</v>
      </c>
      <c r="J508" t="s">
        <v>210</v>
      </c>
      <c r="K508" t="s">
        <v>211</v>
      </c>
    </row>
    <row r="509" spans="1:11" x14ac:dyDescent="0.3">
      <c r="A509" t="s">
        <v>27</v>
      </c>
      <c r="B509" t="s">
        <v>20</v>
      </c>
      <c r="C509" t="s">
        <v>21</v>
      </c>
      <c r="D509" t="s">
        <v>28</v>
      </c>
      <c r="E509">
        <v>2024</v>
      </c>
      <c r="F509" t="s">
        <v>207</v>
      </c>
      <c r="G509" t="s">
        <v>208</v>
      </c>
      <c r="H509">
        <v>100027</v>
      </c>
      <c r="I509" t="s">
        <v>209</v>
      </c>
      <c r="J509" t="s">
        <v>210</v>
      </c>
      <c r="K509" t="s">
        <v>211</v>
      </c>
    </row>
    <row r="510" spans="1:11" x14ac:dyDescent="0.3">
      <c r="A510" t="s">
        <v>29</v>
      </c>
      <c r="B510" t="s">
        <v>20</v>
      </c>
      <c r="C510" t="s">
        <v>21</v>
      </c>
      <c r="D510" t="s">
        <v>30</v>
      </c>
      <c r="E510">
        <v>2024</v>
      </c>
      <c r="F510" t="s">
        <v>207</v>
      </c>
      <c r="G510" t="s">
        <v>208</v>
      </c>
      <c r="H510">
        <v>244607</v>
      </c>
      <c r="I510" t="s">
        <v>209</v>
      </c>
      <c r="J510" t="s">
        <v>210</v>
      </c>
      <c r="K510" t="s">
        <v>211</v>
      </c>
    </row>
    <row r="511" spans="1:11" x14ac:dyDescent="0.3">
      <c r="A511" t="s">
        <v>31</v>
      </c>
      <c r="B511" t="s">
        <v>20</v>
      </c>
      <c r="C511" t="s">
        <v>21</v>
      </c>
      <c r="D511" t="s">
        <v>32</v>
      </c>
      <c r="E511">
        <v>2024</v>
      </c>
      <c r="F511" t="s">
        <v>207</v>
      </c>
      <c r="G511" t="s">
        <v>208</v>
      </c>
      <c r="H511">
        <v>55649</v>
      </c>
      <c r="I511" t="s">
        <v>209</v>
      </c>
      <c r="J511" t="s">
        <v>210</v>
      </c>
      <c r="K511" t="s">
        <v>211</v>
      </c>
    </row>
    <row r="512" spans="1:11" x14ac:dyDescent="0.3">
      <c r="A512" t="s">
        <v>33</v>
      </c>
      <c r="B512" t="s">
        <v>20</v>
      </c>
      <c r="C512" t="s">
        <v>21</v>
      </c>
      <c r="D512" t="s">
        <v>34</v>
      </c>
      <c r="E512">
        <v>2024</v>
      </c>
      <c r="F512" t="s">
        <v>207</v>
      </c>
      <c r="G512" t="s">
        <v>208</v>
      </c>
      <c r="H512">
        <v>46392</v>
      </c>
      <c r="I512" t="s">
        <v>209</v>
      </c>
      <c r="J512" t="s">
        <v>210</v>
      </c>
      <c r="K512" t="s">
        <v>211</v>
      </c>
    </row>
    <row r="513" spans="1:11" x14ac:dyDescent="0.3">
      <c r="A513" t="s">
        <v>35</v>
      </c>
      <c r="B513" t="s">
        <v>20</v>
      </c>
      <c r="C513" t="s">
        <v>21</v>
      </c>
      <c r="D513" t="s">
        <v>36</v>
      </c>
      <c r="E513">
        <v>2024</v>
      </c>
      <c r="F513" t="s">
        <v>207</v>
      </c>
      <c r="G513" t="s">
        <v>208</v>
      </c>
      <c r="H513">
        <v>4010</v>
      </c>
      <c r="I513" t="s">
        <v>209</v>
      </c>
      <c r="J513" t="s">
        <v>210</v>
      </c>
      <c r="K513" t="s">
        <v>211</v>
      </c>
    </row>
    <row r="514" spans="1:11" x14ac:dyDescent="0.3">
      <c r="A514" t="s">
        <v>37</v>
      </c>
      <c r="B514" t="s">
        <v>20</v>
      </c>
      <c r="C514" t="s">
        <v>21</v>
      </c>
      <c r="D514" t="s">
        <v>38</v>
      </c>
      <c r="E514">
        <v>2024</v>
      </c>
      <c r="F514" t="s">
        <v>207</v>
      </c>
      <c r="G514" t="s">
        <v>208</v>
      </c>
      <c r="H514">
        <v>25244</v>
      </c>
      <c r="I514" t="s">
        <v>209</v>
      </c>
      <c r="J514" t="s">
        <v>210</v>
      </c>
      <c r="K514" t="s">
        <v>211</v>
      </c>
    </row>
    <row r="515" spans="1:11" x14ac:dyDescent="0.3">
      <c r="A515" t="s">
        <v>39</v>
      </c>
      <c r="B515" t="s">
        <v>20</v>
      </c>
      <c r="C515" t="s">
        <v>21</v>
      </c>
      <c r="D515" t="s">
        <v>40</v>
      </c>
      <c r="E515">
        <v>2024</v>
      </c>
      <c r="F515" t="s">
        <v>207</v>
      </c>
      <c r="G515" t="s">
        <v>208</v>
      </c>
      <c r="H515">
        <v>4631</v>
      </c>
      <c r="I515" t="s">
        <v>209</v>
      </c>
      <c r="J515" t="s">
        <v>210</v>
      </c>
      <c r="K515" t="s">
        <v>211</v>
      </c>
    </row>
    <row r="516" spans="1:11" x14ac:dyDescent="0.3">
      <c r="A516" t="s">
        <v>41</v>
      </c>
      <c r="B516" t="s">
        <v>20</v>
      </c>
      <c r="C516" t="s">
        <v>21</v>
      </c>
      <c r="D516" t="s">
        <v>42</v>
      </c>
      <c r="E516">
        <v>2024</v>
      </c>
      <c r="F516" t="s">
        <v>207</v>
      </c>
      <c r="G516" t="s">
        <v>208</v>
      </c>
      <c r="H516">
        <v>84452</v>
      </c>
      <c r="I516" t="s">
        <v>209</v>
      </c>
      <c r="J516" t="s">
        <v>210</v>
      </c>
      <c r="K516" t="s">
        <v>211</v>
      </c>
    </row>
    <row r="517" spans="1:11" x14ac:dyDescent="0.3">
      <c r="A517" t="s">
        <v>43</v>
      </c>
      <c r="B517" t="s">
        <v>20</v>
      </c>
      <c r="C517" t="s">
        <v>21</v>
      </c>
      <c r="D517" t="s">
        <v>44</v>
      </c>
      <c r="E517">
        <v>2024</v>
      </c>
      <c r="F517" t="s">
        <v>207</v>
      </c>
      <c r="G517" t="s">
        <v>208</v>
      </c>
      <c r="H517">
        <v>85980</v>
      </c>
      <c r="I517" t="s">
        <v>209</v>
      </c>
      <c r="J517" t="s">
        <v>210</v>
      </c>
      <c r="K517" t="s">
        <v>211</v>
      </c>
    </row>
    <row r="518" spans="1:11" x14ac:dyDescent="0.3">
      <c r="A518" t="s">
        <v>45</v>
      </c>
      <c r="B518" t="s">
        <v>20</v>
      </c>
      <c r="C518" t="s">
        <v>46</v>
      </c>
      <c r="D518" t="s">
        <v>47</v>
      </c>
      <c r="E518">
        <v>2024</v>
      </c>
      <c r="F518" t="s">
        <v>207</v>
      </c>
      <c r="G518" t="s">
        <v>208</v>
      </c>
      <c r="H518">
        <v>6856</v>
      </c>
      <c r="I518" t="s">
        <v>209</v>
      </c>
      <c r="J518" t="s">
        <v>210</v>
      </c>
      <c r="K518" t="s">
        <v>211</v>
      </c>
    </row>
    <row r="519" spans="1:11" x14ac:dyDescent="0.3">
      <c r="A519" t="s">
        <v>48</v>
      </c>
      <c r="B519" t="s">
        <v>20</v>
      </c>
      <c r="C519" t="s">
        <v>46</v>
      </c>
      <c r="D519" t="s">
        <v>49</v>
      </c>
      <c r="E519">
        <v>2024</v>
      </c>
      <c r="F519" t="s">
        <v>207</v>
      </c>
      <c r="G519" t="s">
        <v>208</v>
      </c>
      <c r="H519">
        <v>16227</v>
      </c>
      <c r="I519" t="s">
        <v>209</v>
      </c>
      <c r="J519" t="s">
        <v>210</v>
      </c>
      <c r="K519" t="s">
        <v>211</v>
      </c>
    </row>
    <row r="520" spans="1:11" x14ac:dyDescent="0.3">
      <c r="A520" t="s">
        <v>50</v>
      </c>
      <c r="B520" t="s">
        <v>20</v>
      </c>
      <c r="C520" t="s">
        <v>46</v>
      </c>
      <c r="D520" t="s">
        <v>51</v>
      </c>
      <c r="E520">
        <v>2024</v>
      </c>
      <c r="F520" t="s">
        <v>207</v>
      </c>
      <c r="G520" t="s">
        <v>208</v>
      </c>
      <c r="H520">
        <v>9768</v>
      </c>
      <c r="I520" t="s">
        <v>209</v>
      </c>
      <c r="J520" t="s">
        <v>210</v>
      </c>
      <c r="K520" t="s">
        <v>211</v>
      </c>
    </row>
    <row r="521" spans="1:11" x14ac:dyDescent="0.3">
      <c r="A521" t="s">
        <v>52</v>
      </c>
      <c r="B521" t="s">
        <v>20</v>
      </c>
      <c r="C521" t="s">
        <v>46</v>
      </c>
      <c r="D521" t="s">
        <v>53</v>
      </c>
      <c r="E521">
        <v>2024</v>
      </c>
      <c r="F521" t="s">
        <v>207</v>
      </c>
      <c r="G521" t="s">
        <v>208</v>
      </c>
      <c r="H521">
        <v>2623</v>
      </c>
      <c r="I521" t="s">
        <v>209</v>
      </c>
      <c r="J521" t="s">
        <v>210</v>
      </c>
      <c r="K521" t="s">
        <v>211</v>
      </c>
    </row>
    <row r="522" spans="1:11" x14ac:dyDescent="0.3">
      <c r="A522" t="s">
        <v>54</v>
      </c>
      <c r="B522" t="s">
        <v>20</v>
      </c>
      <c r="C522" t="s">
        <v>46</v>
      </c>
      <c r="D522" t="s">
        <v>55</v>
      </c>
      <c r="E522">
        <v>2024</v>
      </c>
      <c r="F522" t="s">
        <v>207</v>
      </c>
      <c r="G522" t="s">
        <v>208</v>
      </c>
      <c r="H522">
        <v>30586</v>
      </c>
      <c r="I522" t="s">
        <v>209</v>
      </c>
      <c r="J522" t="s">
        <v>210</v>
      </c>
      <c r="K522" t="s">
        <v>211</v>
      </c>
    </row>
    <row r="523" spans="1:11" x14ac:dyDescent="0.3">
      <c r="A523" t="s">
        <v>56</v>
      </c>
      <c r="B523" t="s">
        <v>20</v>
      </c>
      <c r="C523" t="s">
        <v>46</v>
      </c>
      <c r="D523" t="s">
        <v>57</v>
      </c>
      <c r="E523">
        <v>2024</v>
      </c>
      <c r="F523" t="s">
        <v>207</v>
      </c>
      <c r="G523" t="s">
        <v>208</v>
      </c>
      <c r="H523">
        <v>9688</v>
      </c>
      <c r="I523" t="s">
        <v>209</v>
      </c>
      <c r="J523" t="s">
        <v>210</v>
      </c>
      <c r="K523" t="s">
        <v>211</v>
      </c>
    </row>
    <row r="524" spans="1:11" x14ac:dyDescent="0.3">
      <c r="A524" t="s">
        <v>58</v>
      </c>
      <c r="B524" t="s">
        <v>20</v>
      </c>
      <c r="C524" t="s">
        <v>46</v>
      </c>
      <c r="D524" t="s">
        <v>59</v>
      </c>
      <c r="E524">
        <v>2024</v>
      </c>
      <c r="F524" t="s">
        <v>207</v>
      </c>
      <c r="G524" t="s">
        <v>208</v>
      </c>
      <c r="H524">
        <v>20180</v>
      </c>
      <c r="I524" t="s">
        <v>209</v>
      </c>
      <c r="J524" t="s">
        <v>210</v>
      </c>
      <c r="K524" t="s">
        <v>211</v>
      </c>
    </row>
    <row r="525" spans="1:11" x14ac:dyDescent="0.3">
      <c r="A525" t="s">
        <v>60</v>
      </c>
      <c r="B525" t="s">
        <v>20</v>
      </c>
      <c r="C525" t="s">
        <v>46</v>
      </c>
      <c r="D525" t="s">
        <v>61</v>
      </c>
      <c r="E525">
        <v>2024</v>
      </c>
      <c r="F525" t="s">
        <v>207</v>
      </c>
      <c r="G525" t="s">
        <v>208</v>
      </c>
      <c r="H525">
        <v>29970</v>
      </c>
      <c r="I525" t="s">
        <v>209</v>
      </c>
      <c r="J525" t="s">
        <v>210</v>
      </c>
      <c r="K525" t="s">
        <v>211</v>
      </c>
    </row>
    <row r="526" spans="1:11" x14ac:dyDescent="0.3">
      <c r="A526" t="s">
        <v>62</v>
      </c>
      <c r="B526" t="s">
        <v>20</v>
      </c>
      <c r="C526" t="s">
        <v>63</v>
      </c>
      <c r="D526" t="s">
        <v>64</v>
      </c>
      <c r="E526">
        <v>2024</v>
      </c>
      <c r="F526" t="s">
        <v>207</v>
      </c>
      <c r="G526" t="s">
        <v>208</v>
      </c>
      <c r="H526">
        <v>5116</v>
      </c>
      <c r="I526" t="s">
        <v>209</v>
      </c>
      <c r="J526" t="s">
        <v>210</v>
      </c>
      <c r="K526" t="s">
        <v>211</v>
      </c>
    </row>
    <row r="527" spans="1:11" x14ac:dyDescent="0.3">
      <c r="A527" t="s">
        <v>65</v>
      </c>
      <c r="B527" t="s">
        <v>20</v>
      </c>
      <c r="C527" t="s">
        <v>63</v>
      </c>
      <c r="D527" t="s">
        <v>66</v>
      </c>
      <c r="E527">
        <v>2024</v>
      </c>
      <c r="F527" t="s">
        <v>207</v>
      </c>
      <c r="G527" t="s">
        <v>208</v>
      </c>
      <c r="H527">
        <v>3048</v>
      </c>
      <c r="I527" t="s">
        <v>209</v>
      </c>
      <c r="J527" t="s">
        <v>210</v>
      </c>
      <c r="K527" t="s">
        <v>211</v>
      </c>
    </row>
    <row r="528" spans="1:11" x14ac:dyDescent="0.3">
      <c r="A528" t="s">
        <v>67</v>
      </c>
      <c r="B528" t="s">
        <v>20</v>
      </c>
      <c r="C528" t="s">
        <v>63</v>
      </c>
      <c r="D528" t="s">
        <v>68</v>
      </c>
      <c r="E528">
        <v>2024</v>
      </c>
      <c r="F528" t="s">
        <v>207</v>
      </c>
      <c r="G528" t="s">
        <v>208</v>
      </c>
      <c r="H528">
        <v>2119</v>
      </c>
      <c r="I528" t="s">
        <v>209</v>
      </c>
      <c r="J528" t="s">
        <v>210</v>
      </c>
      <c r="K528" t="s">
        <v>211</v>
      </c>
    </row>
    <row r="529" spans="1:11" x14ac:dyDescent="0.3">
      <c r="A529" t="s">
        <v>69</v>
      </c>
      <c r="B529" t="s">
        <v>20</v>
      </c>
      <c r="C529" t="s">
        <v>63</v>
      </c>
      <c r="D529" t="s">
        <v>70</v>
      </c>
      <c r="E529">
        <v>2024</v>
      </c>
      <c r="F529" t="s">
        <v>207</v>
      </c>
      <c r="G529" t="s">
        <v>208</v>
      </c>
      <c r="H529">
        <v>2366</v>
      </c>
      <c r="I529" t="s">
        <v>209</v>
      </c>
      <c r="J529" t="s">
        <v>210</v>
      </c>
      <c r="K529" t="s">
        <v>211</v>
      </c>
    </row>
    <row r="530" spans="1:11" x14ac:dyDescent="0.3">
      <c r="A530" t="s">
        <v>71</v>
      </c>
      <c r="B530" t="s">
        <v>20</v>
      </c>
      <c r="C530" t="s">
        <v>63</v>
      </c>
      <c r="D530" t="s">
        <v>72</v>
      </c>
      <c r="E530">
        <v>2024</v>
      </c>
      <c r="F530" t="s">
        <v>207</v>
      </c>
      <c r="G530" t="s">
        <v>208</v>
      </c>
      <c r="H530">
        <v>2257</v>
      </c>
      <c r="I530" t="s">
        <v>209</v>
      </c>
      <c r="J530" t="s">
        <v>210</v>
      </c>
      <c r="K530" t="s">
        <v>211</v>
      </c>
    </row>
    <row r="531" spans="1:11" x14ac:dyDescent="0.3">
      <c r="A531" t="s">
        <v>73</v>
      </c>
      <c r="B531" t="s">
        <v>20</v>
      </c>
      <c r="C531" t="s">
        <v>63</v>
      </c>
      <c r="D531" t="s">
        <v>74</v>
      </c>
      <c r="E531">
        <v>2024</v>
      </c>
      <c r="F531" t="s">
        <v>207</v>
      </c>
      <c r="G531" t="s">
        <v>208</v>
      </c>
      <c r="H531">
        <v>891</v>
      </c>
      <c r="I531" t="s">
        <v>209</v>
      </c>
      <c r="J531" t="s">
        <v>210</v>
      </c>
      <c r="K531" t="s">
        <v>211</v>
      </c>
    </row>
    <row r="532" spans="1:11" x14ac:dyDescent="0.3">
      <c r="A532" t="s">
        <v>75</v>
      </c>
      <c r="B532" t="s">
        <v>20</v>
      </c>
      <c r="C532" t="s">
        <v>76</v>
      </c>
      <c r="D532" t="s">
        <v>77</v>
      </c>
      <c r="E532">
        <v>2024</v>
      </c>
      <c r="F532" t="s">
        <v>207</v>
      </c>
      <c r="G532" t="s">
        <v>208</v>
      </c>
      <c r="H532">
        <v>49914</v>
      </c>
      <c r="I532" t="s">
        <v>209</v>
      </c>
      <c r="J532" t="s">
        <v>210</v>
      </c>
      <c r="K532" t="s">
        <v>211</v>
      </c>
    </row>
    <row r="533" spans="1:11" x14ac:dyDescent="0.3">
      <c r="A533" t="s">
        <v>78</v>
      </c>
      <c r="B533" t="s">
        <v>20</v>
      </c>
      <c r="C533" t="s">
        <v>76</v>
      </c>
      <c r="D533" t="s">
        <v>79</v>
      </c>
      <c r="E533">
        <v>2024</v>
      </c>
      <c r="F533" t="s">
        <v>207</v>
      </c>
      <c r="G533" t="s">
        <v>208</v>
      </c>
      <c r="H533">
        <v>26606</v>
      </c>
      <c r="I533" t="s">
        <v>209</v>
      </c>
      <c r="J533" t="s">
        <v>210</v>
      </c>
      <c r="K533" t="s">
        <v>211</v>
      </c>
    </row>
    <row r="534" spans="1:11" x14ac:dyDescent="0.3">
      <c r="A534" t="s">
        <v>80</v>
      </c>
      <c r="B534" t="s">
        <v>20</v>
      </c>
      <c r="C534" t="s">
        <v>76</v>
      </c>
      <c r="D534" t="s">
        <v>81</v>
      </c>
      <c r="E534">
        <v>2024</v>
      </c>
      <c r="F534" t="s">
        <v>207</v>
      </c>
      <c r="G534" t="s">
        <v>208</v>
      </c>
      <c r="H534">
        <v>12923</v>
      </c>
      <c r="I534" t="s">
        <v>209</v>
      </c>
      <c r="J534" t="s">
        <v>210</v>
      </c>
      <c r="K534" t="s">
        <v>211</v>
      </c>
    </row>
    <row r="535" spans="1:11" x14ac:dyDescent="0.3">
      <c r="A535" t="s">
        <v>82</v>
      </c>
      <c r="B535" t="s">
        <v>20</v>
      </c>
      <c r="C535" t="s">
        <v>83</v>
      </c>
      <c r="D535" t="s">
        <v>84</v>
      </c>
      <c r="E535">
        <v>2024</v>
      </c>
      <c r="F535" t="s">
        <v>207</v>
      </c>
      <c r="G535" t="s">
        <v>208</v>
      </c>
      <c r="H535">
        <v>12817</v>
      </c>
      <c r="I535" t="s">
        <v>209</v>
      </c>
      <c r="J535" t="s">
        <v>210</v>
      </c>
      <c r="K535" t="s">
        <v>211</v>
      </c>
    </row>
    <row r="536" spans="1:11" x14ac:dyDescent="0.3">
      <c r="A536" t="s">
        <v>85</v>
      </c>
      <c r="B536" t="s">
        <v>20</v>
      </c>
      <c r="C536" t="s">
        <v>83</v>
      </c>
      <c r="D536" t="s">
        <v>86</v>
      </c>
      <c r="E536">
        <v>2024</v>
      </c>
      <c r="F536" t="s">
        <v>207</v>
      </c>
      <c r="G536" t="s">
        <v>208</v>
      </c>
      <c r="H536">
        <v>4720</v>
      </c>
      <c r="I536" t="s">
        <v>209</v>
      </c>
      <c r="J536" t="s">
        <v>210</v>
      </c>
      <c r="K536" t="s">
        <v>211</v>
      </c>
    </row>
    <row r="537" spans="1:11" x14ac:dyDescent="0.3">
      <c r="A537" t="s">
        <v>87</v>
      </c>
      <c r="B537" t="s">
        <v>20</v>
      </c>
      <c r="C537" t="s">
        <v>83</v>
      </c>
      <c r="D537" t="s">
        <v>88</v>
      </c>
      <c r="E537">
        <v>2024</v>
      </c>
      <c r="F537" t="s">
        <v>207</v>
      </c>
      <c r="G537" t="s">
        <v>208</v>
      </c>
      <c r="H537">
        <v>6933</v>
      </c>
      <c r="I537" t="s">
        <v>209</v>
      </c>
      <c r="J537" t="s">
        <v>210</v>
      </c>
      <c r="K537" t="s">
        <v>211</v>
      </c>
    </row>
    <row r="538" spans="1:11" x14ac:dyDescent="0.3">
      <c r="A538" t="s">
        <v>89</v>
      </c>
      <c r="B538" t="s">
        <v>20</v>
      </c>
      <c r="C538" t="s">
        <v>83</v>
      </c>
      <c r="D538" t="s">
        <v>90</v>
      </c>
      <c r="E538">
        <v>2024</v>
      </c>
      <c r="F538" t="s">
        <v>207</v>
      </c>
      <c r="G538" t="s">
        <v>208</v>
      </c>
      <c r="H538">
        <v>6253</v>
      </c>
      <c r="I538" t="s">
        <v>209</v>
      </c>
      <c r="J538" t="s">
        <v>210</v>
      </c>
      <c r="K538" t="s">
        <v>211</v>
      </c>
    </row>
    <row r="539" spans="1:11" x14ac:dyDescent="0.3">
      <c r="A539" t="s">
        <v>91</v>
      </c>
      <c r="B539" t="s">
        <v>20</v>
      </c>
      <c r="C539" t="s">
        <v>92</v>
      </c>
      <c r="D539" t="s">
        <v>93</v>
      </c>
      <c r="E539">
        <v>2024</v>
      </c>
      <c r="F539" t="s">
        <v>207</v>
      </c>
      <c r="G539" t="s">
        <v>208</v>
      </c>
      <c r="H539">
        <v>27491</v>
      </c>
      <c r="I539" t="s">
        <v>209</v>
      </c>
      <c r="J539" t="s">
        <v>210</v>
      </c>
      <c r="K539" t="s">
        <v>211</v>
      </c>
    </row>
    <row r="540" spans="1:11" x14ac:dyDescent="0.3">
      <c r="A540" t="s">
        <v>94</v>
      </c>
      <c r="B540" t="s">
        <v>20</v>
      </c>
      <c r="C540" t="s">
        <v>92</v>
      </c>
      <c r="D540" t="s">
        <v>95</v>
      </c>
      <c r="E540">
        <v>2024</v>
      </c>
      <c r="F540" t="s">
        <v>207</v>
      </c>
      <c r="G540" t="s">
        <v>208</v>
      </c>
      <c r="H540">
        <v>10666</v>
      </c>
      <c r="I540" t="s">
        <v>209</v>
      </c>
      <c r="J540" t="s">
        <v>210</v>
      </c>
      <c r="K540" t="s">
        <v>211</v>
      </c>
    </row>
    <row r="541" spans="1:11" x14ac:dyDescent="0.3">
      <c r="A541" t="s">
        <v>96</v>
      </c>
      <c r="B541" t="s">
        <v>20</v>
      </c>
      <c r="C541" t="s">
        <v>92</v>
      </c>
      <c r="D541" t="s">
        <v>97</v>
      </c>
      <c r="E541">
        <v>2024</v>
      </c>
      <c r="F541" t="s">
        <v>207</v>
      </c>
      <c r="G541" t="s">
        <v>208</v>
      </c>
      <c r="H541">
        <v>2444</v>
      </c>
      <c r="I541" t="s">
        <v>209</v>
      </c>
      <c r="J541" t="s">
        <v>210</v>
      </c>
      <c r="K541" t="s">
        <v>211</v>
      </c>
    </row>
    <row r="542" spans="1:11" x14ac:dyDescent="0.3">
      <c r="A542" t="s">
        <v>98</v>
      </c>
      <c r="B542" t="s">
        <v>20</v>
      </c>
      <c r="C542" t="s">
        <v>92</v>
      </c>
      <c r="D542" t="s">
        <v>99</v>
      </c>
      <c r="E542">
        <v>2024</v>
      </c>
      <c r="F542" t="s">
        <v>207</v>
      </c>
      <c r="G542" t="s">
        <v>208</v>
      </c>
      <c r="H542">
        <v>3880</v>
      </c>
      <c r="I542" t="s">
        <v>209</v>
      </c>
      <c r="J542" t="s">
        <v>210</v>
      </c>
      <c r="K542" t="s">
        <v>211</v>
      </c>
    </row>
    <row r="543" spans="1:11" x14ac:dyDescent="0.3">
      <c r="A543" t="s">
        <v>100</v>
      </c>
      <c r="B543" t="s">
        <v>20</v>
      </c>
      <c r="C543" t="s">
        <v>92</v>
      </c>
      <c r="D543" t="s">
        <v>101</v>
      </c>
      <c r="E543">
        <v>2024</v>
      </c>
      <c r="F543" t="s">
        <v>207</v>
      </c>
      <c r="G543" t="s">
        <v>208</v>
      </c>
      <c r="H543">
        <v>653</v>
      </c>
      <c r="I543" t="s">
        <v>209</v>
      </c>
      <c r="J543" t="s">
        <v>210</v>
      </c>
      <c r="K543" t="s">
        <v>211</v>
      </c>
    </row>
    <row r="544" spans="1:11" x14ac:dyDescent="0.3">
      <c r="A544" t="s">
        <v>102</v>
      </c>
      <c r="B544" t="s">
        <v>20</v>
      </c>
      <c r="C544" t="s">
        <v>92</v>
      </c>
      <c r="D544" t="s">
        <v>103</v>
      </c>
      <c r="E544">
        <v>2024</v>
      </c>
      <c r="F544" t="s">
        <v>207</v>
      </c>
      <c r="G544" t="s">
        <v>208</v>
      </c>
      <c r="H544">
        <v>2791</v>
      </c>
      <c r="I544" t="s">
        <v>209</v>
      </c>
      <c r="J544" t="s">
        <v>210</v>
      </c>
      <c r="K544" t="s">
        <v>211</v>
      </c>
    </row>
    <row r="545" spans="1:11" x14ac:dyDescent="0.3">
      <c r="A545" t="s">
        <v>104</v>
      </c>
      <c r="B545" t="s">
        <v>20</v>
      </c>
      <c r="C545" t="s">
        <v>92</v>
      </c>
      <c r="D545" t="s">
        <v>105</v>
      </c>
      <c r="E545">
        <v>2024</v>
      </c>
      <c r="F545" t="s">
        <v>207</v>
      </c>
      <c r="G545" t="s">
        <v>208</v>
      </c>
      <c r="H545">
        <v>517</v>
      </c>
      <c r="I545" t="s">
        <v>209</v>
      </c>
      <c r="J545" t="s">
        <v>210</v>
      </c>
      <c r="K545" t="s">
        <v>211</v>
      </c>
    </row>
    <row r="546" spans="1:11" x14ac:dyDescent="0.3">
      <c r="A546" t="s">
        <v>106</v>
      </c>
      <c r="B546" t="s">
        <v>20</v>
      </c>
      <c r="C546" t="s">
        <v>92</v>
      </c>
      <c r="D546" t="s">
        <v>107</v>
      </c>
      <c r="E546">
        <v>2024</v>
      </c>
      <c r="F546" t="s">
        <v>207</v>
      </c>
      <c r="G546" t="s">
        <v>208</v>
      </c>
      <c r="H546">
        <v>6618</v>
      </c>
      <c r="I546" t="s">
        <v>209</v>
      </c>
      <c r="J546" t="s">
        <v>210</v>
      </c>
      <c r="K546" t="s">
        <v>211</v>
      </c>
    </row>
    <row r="547" spans="1:11" x14ac:dyDescent="0.3">
      <c r="A547" t="s">
        <v>108</v>
      </c>
      <c r="B547" t="s">
        <v>20</v>
      </c>
      <c r="C547" t="s">
        <v>92</v>
      </c>
      <c r="D547" t="s">
        <v>109</v>
      </c>
      <c r="E547">
        <v>2024</v>
      </c>
      <c r="F547" t="s">
        <v>207</v>
      </c>
      <c r="G547" t="s">
        <v>208</v>
      </c>
      <c r="H547">
        <v>7372</v>
      </c>
      <c r="I547" t="s">
        <v>209</v>
      </c>
      <c r="J547" t="s">
        <v>210</v>
      </c>
      <c r="K547" t="s">
        <v>211</v>
      </c>
    </row>
    <row r="548" spans="1:11" x14ac:dyDescent="0.3">
      <c r="A548" t="s">
        <v>110</v>
      </c>
      <c r="B548" t="s">
        <v>20</v>
      </c>
      <c r="C548" t="s">
        <v>92</v>
      </c>
      <c r="D548" t="s">
        <v>111</v>
      </c>
      <c r="E548">
        <v>2024</v>
      </c>
      <c r="F548" t="s">
        <v>207</v>
      </c>
      <c r="G548" t="s">
        <v>208</v>
      </c>
      <c r="H548">
        <v>22181</v>
      </c>
      <c r="I548" t="s">
        <v>209</v>
      </c>
      <c r="J548" t="s">
        <v>210</v>
      </c>
      <c r="K548" t="s">
        <v>211</v>
      </c>
    </row>
    <row r="549" spans="1:11" x14ac:dyDescent="0.3">
      <c r="A549" t="s">
        <v>112</v>
      </c>
      <c r="B549" t="s">
        <v>20</v>
      </c>
      <c r="C549" t="s">
        <v>113</v>
      </c>
      <c r="D549" t="s">
        <v>114</v>
      </c>
      <c r="E549">
        <v>2024</v>
      </c>
      <c r="F549" t="s">
        <v>207</v>
      </c>
      <c r="G549" t="s">
        <v>208</v>
      </c>
      <c r="H549">
        <v>20280</v>
      </c>
      <c r="I549" t="s">
        <v>209</v>
      </c>
      <c r="J549" t="s">
        <v>210</v>
      </c>
      <c r="K549" t="s">
        <v>211</v>
      </c>
    </row>
    <row r="550" spans="1:11" x14ac:dyDescent="0.3">
      <c r="A550" t="s">
        <v>115</v>
      </c>
      <c r="B550" t="s">
        <v>20</v>
      </c>
      <c r="C550" t="s">
        <v>113</v>
      </c>
      <c r="D550" t="s">
        <v>116</v>
      </c>
      <c r="E550">
        <v>2024</v>
      </c>
      <c r="F550" t="s">
        <v>207</v>
      </c>
      <c r="G550" t="s">
        <v>208</v>
      </c>
      <c r="H550">
        <v>46016</v>
      </c>
      <c r="I550" t="s">
        <v>209</v>
      </c>
      <c r="J550" t="s">
        <v>210</v>
      </c>
      <c r="K550" t="s">
        <v>211</v>
      </c>
    </row>
    <row r="551" spans="1:11" x14ac:dyDescent="0.3">
      <c r="A551" t="s">
        <v>117</v>
      </c>
      <c r="B551" t="s">
        <v>20</v>
      </c>
      <c r="C551" t="s">
        <v>113</v>
      </c>
      <c r="D551" t="s">
        <v>118</v>
      </c>
      <c r="E551">
        <v>2024</v>
      </c>
      <c r="F551" t="s">
        <v>207</v>
      </c>
      <c r="G551" t="s">
        <v>208</v>
      </c>
      <c r="H551">
        <v>4978</v>
      </c>
      <c r="I551" t="s">
        <v>209</v>
      </c>
      <c r="J551" t="s">
        <v>210</v>
      </c>
      <c r="K551" t="s">
        <v>211</v>
      </c>
    </row>
    <row r="552" spans="1:11" x14ac:dyDescent="0.3">
      <c r="A552" t="s">
        <v>119</v>
      </c>
      <c r="B552" t="s">
        <v>20</v>
      </c>
      <c r="C552" t="s">
        <v>113</v>
      </c>
      <c r="D552" t="s">
        <v>120</v>
      </c>
      <c r="E552">
        <v>2024</v>
      </c>
      <c r="F552" t="s">
        <v>207</v>
      </c>
      <c r="G552" t="s">
        <v>208</v>
      </c>
      <c r="H552">
        <v>33952</v>
      </c>
      <c r="I552" t="s">
        <v>209</v>
      </c>
      <c r="J552" t="s">
        <v>210</v>
      </c>
      <c r="K552" t="s">
        <v>211</v>
      </c>
    </row>
    <row r="553" spans="1:11" x14ac:dyDescent="0.3">
      <c r="A553" t="s">
        <v>121</v>
      </c>
      <c r="B553" t="s">
        <v>20</v>
      </c>
      <c r="C553" t="s">
        <v>113</v>
      </c>
      <c r="D553" t="s">
        <v>122</v>
      </c>
      <c r="E553">
        <v>2024</v>
      </c>
      <c r="F553" t="s">
        <v>207</v>
      </c>
      <c r="G553" t="s">
        <v>208</v>
      </c>
      <c r="H553">
        <v>13004</v>
      </c>
      <c r="I553" t="s">
        <v>209</v>
      </c>
      <c r="J553" t="s">
        <v>210</v>
      </c>
      <c r="K553" t="s">
        <v>211</v>
      </c>
    </row>
    <row r="554" spans="1:11" x14ac:dyDescent="0.3">
      <c r="A554" t="s">
        <v>123</v>
      </c>
      <c r="B554" t="s">
        <v>20</v>
      </c>
      <c r="C554" t="s">
        <v>124</v>
      </c>
      <c r="D554" t="s">
        <v>125</v>
      </c>
      <c r="E554">
        <v>2024</v>
      </c>
      <c r="F554" t="s">
        <v>207</v>
      </c>
      <c r="G554" t="s">
        <v>208</v>
      </c>
      <c r="H554">
        <v>13833</v>
      </c>
      <c r="I554" t="s">
        <v>209</v>
      </c>
      <c r="J554" t="s">
        <v>210</v>
      </c>
      <c r="K554" t="s">
        <v>211</v>
      </c>
    </row>
    <row r="555" spans="1:11" x14ac:dyDescent="0.3">
      <c r="A555" t="s">
        <v>126</v>
      </c>
      <c r="B555" t="s">
        <v>20</v>
      </c>
      <c r="C555" t="s">
        <v>124</v>
      </c>
      <c r="D555" t="s">
        <v>127</v>
      </c>
      <c r="E555">
        <v>2024</v>
      </c>
      <c r="F555" t="s">
        <v>207</v>
      </c>
      <c r="G555" t="s">
        <v>208</v>
      </c>
      <c r="H555">
        <v>4336</v>
      </c>
      <c r="I555" t="s">
        <v>209</v>
      </c>
      <c r="J555" t="s">
        <v>210</v>
      </c>
      <c r="K555" t="s">
        <v>211</v>
      </c>
    </row>
    <row r="556" spans="1:11" x14ac:dyDescent="0.3">
      <c r="A556" t="s">
        <v>128</v>
      </c>
      <c r="B556" t="s">
        <v>20</v>
      </c>
      <c r="C556" t="s">
        <v>124</v>
      </c>
      <c r="D556" t="s">
        <v>129</v>
      </c>
      <c r="E556">
        <v>2024</v>
      </c>
      <c r="F556" t="s">
        <v>207</v>
      </c>
      <c r="G556" t="s">
        <v>208</v>
      </c>
      <c r="H556">
        <v>13318</v>
      </c>
      <c r="I556" t="s">
        <v>209</v>
      </c>
      <c r="J556" t="s">
        <v>210</v>
      </c>
      <c r="K556" t="s">
        <v>211</v>
      </c>
    </row>
    <row r="557" spans="1:11" x14ac:dyDescent="0.3">
      <c r="A557" t="s">
        <v>130</v>
      </c>
      <c r="B557" t="s">
        <v>20</v>
      </c>
      <c r="C557" t="s">
        <v>124</v>
      </c>
      <c r="D557" t="s">
        <v>131</v>
      </c>
      <c r="E557">
        <v>2024</v>
      </c>
      <c r="F557" t="s">
        <v>207</v>
      </c>
      <c r="G557" t="s">
        <v>208</v>
      </c>
      <c r="H557">
        <v>6108</v>
      </c>
      <c r="I557" t="s">
        <v>209</v>
      </c>
      <c r="J557" t="s">
        <v>210</v>
      </c>
      <c r="K557" t="s">
        <v>211</v>
      </c>
    </row>
    <row r="558" spans="1:11" x14ac:dyDescent="0.3">
      <c r="A558" t="s">
        <v>132</v>
      </c>
      <c r="B558" t="s">
        <v>20</v>
      </c>
      <c r="C558" t="s">
        <v>124</v>
      </c>
      <c r="D558" t="s">
        <v>133</v>
      </c>
      <c r="E558">
        <v>2024</v>
      </c>
      <c r="F558" t="s">
        <v>207</v>
      </c>
      <c r="G558" t="s">
        <v>208</v>
      </c>
      <c r="H558">
        <v>975</v>
      </c>
      <c r="I558" t="s">
        <v>209</v>
      </c>
      <c r="J558" t="s">
        <v>210</v>
      </c>
      <c r="K558" t="s">
        <v>211</v>
      </c>
    </row>
    <row r="559" spans="1:11" x14ac:dyDescent="0.3">
      <c r="A559" t="s">
        <v>134</v>
      </c>
      <c r="B559" t="s">
        <v>20</v>
      </c>
      <c r="C559" t="s">
        <v>124</v>
      </c>
      <c r="D559" t="s">
        <v>135</v>
      </c>
      <c r="E559">
        <v>2024</v>
      </c>
      <c r="F559" t="s">
        <v>207</v>
      </c>
      <c r="G559" t="s">
        <v>208</v>
      </c>
      <c r="H559">
        <v>3685</v>
      </c>
      <c r="I559" t="s">
        <v>209</v>
      </c>
      <c r="J559" t="s">
        <v>210</v>
      </c>
      <c r="K559" t="s">
        <v>211</v>
      </c>
    </row>
    <row r="560" spans="1:11" x14ac:dyDescent="0.3">
      <c r="A560" t="s">
        <v>136</v>
      </c>
      <c r="B560" t="s">
        <v>20</v>
      </c>
      <c r="C560" t="s">
        <v>124</v>
      </c>
      <c r="D560" t="s">
        <v>137</v>
      </c>
      <c r="E560">
        <v>2024</v>
      </c>
      <c r="F560" t="s">
        <v>207</v>
      </c>
      <c r="G560" t="s">
        <v>208</v>
      </c>
      <c r="H560">
        <v>1292</v>
      </c>
      <c r="I560" t="s">
        <v>209</v>
      </c>
      <c r="J560" t="s">
        <v>210</v>
      </c>
      <c r="K560" t="s">
        <v>211</v>
      </c>
    </row>
    <row r="561" spans="1:11" x14ac:dyDescent="0.3">
      <c r="A561" t="s">
        <v>138</v>
      </c>
      <c r="B561" t="s">
        <v>20</v>
      </c>
      <c r="C561" t="s">
        <v>124</v>
      </c>
      <c r="D561" t="s">
        <v>139</v>
      </c>
      <c r="E561">
        <v>2024</v>
      </c>
      <c r="F561" t="s">
        <v>207</v>
      </c>
      <c r="G561" t="s">
        <v>208</v>
      </c>
      <c r="H561">
        <v>22405</v>
      </c>
      <c r="I561" t="s">
        <v>209</v>
      </c>
      <c r="J561" t="s">
        <v>210</v>
      </c>
      <c r="K561" t="s">
        <v>211</v>
      </c>
    </row>
    <row r="562" spans="1:11" x14ac:dyDescent="0.3">
      <c r="A562" t="s">
        <v>140</v>
      </c>
      <c r="B562" t="s">
        <v>20</v>
      </c>
      <c r="C562" t="s">
        <v>124</v>
      </c>
      <c r="D562" t="s">
        <v>141</v>
      </c>
      <c r="E562">
        <v>2024</v>
      </c>
      <c r="F562" t="s">
        <v>207</v>
      </c>
      <c r="G562" t="s">
        <v>208</v>
      </c>
      <c r="H562">
        <v>11716</v>
      </c>
      <c r="I562" t="s">
        <v>209</v>
      </c>
      <c r="J562" t="s">
        <v>210</v>
      </c>
      <c r="K562" t="s">
        <v>211</v>
      </c>
    </row>
    <row r="563" spans="1:11" x14ac:dyDescent="0.3">
      <c r="A563" t="s">
        <v>142</v>
      </c>
      <c r="B563" t="s">
        <v>20</v>
      </c>
      <c r="C563" t="s">
        <v>124</v>
      </c>
      <c r="D563" t="s">
        <v>143</v>
      </c>
      <c r="E563">
        <v>2024</v>
      </c>
      <c r="F563" t="s">
        <v>207</v>
      </c>
      <c r="G563" t="s">
        <v>208</v>
      </c>
      <c r="H563">
        <v>2003</v>
      </c>
      <c r="I563" t="s">
        <v>209</v>
      </c>
      <c r="J563" t="s">
        <v>210</v>
      </c>
      <c r="K563" t="s">
        <v>211</v>
      </c>
    </row>
    <row r="564" spans="1:11" x14ac:dyDescent="0.3">
      <c r="A564" t="s">
        <v>144</v>
      </c>
      <c r="B564" t="s">
        <v>20</v>
      </c>
      <c r="C564" t="s">
        <v>124</v>
      </c>
      <c r="D564" t="s">
        <v>145</v>
      </c>
      <c r="E564">
        <v>2024</v>
      </c>
      <c r="F564" t="s">
        <v>207</v>
      </c>
      <c r="G564" t="s">
        <v>208</v>
      </c>
      <c r="H564">
        <v>2186</v>
      </c>
      <c r="I564" t="s">
        <v>209</v>
      </c>
      <c r="J564" t="s">
        <v>210</v>
      </c>
      <c r="K564" t="s">
        <v>211</v>
      </c>
    </row>
    <row r="565" spans="1:11" x14ac:dyDescent="0.3">
      <c r="A565" t="s">
        <v>146</v>
      </c>
      <c r="B565" t="s">
        <v>20</v>
      </c>
      <c r="C565" t="s">
        <v>124</v>
      </c>
      <c r="D565" t="s">
        <v>147</v>
      </c>
      <c r="E565">
        <v>2024</v>
      </c>
      <c r="F565" t="s">
        <v>207</v>
      </c>
      <c r="G565" t="s">
        <v>208</v>
      </c>
      <c r="H565">
        <v>3027</v>
      </c>
      <c r="I565" t="s">
        <v>209</v>
      </c>
      <c r="J565" t="s">
        <v>210</v>
      </c>
      <c r="K565" t="s">
        <v>211</v>
      </c>
    </row>
    <row r="566" spans="1:11" x14ac:dyDescent="0.3">
      <c r="A566" t="s">
        <v>148</v>
      </c>
      <c r="B566" t="s">
        <v>20</v>
      </c>
      <c r="C566" t="s">
        <v>124</v>
      </c>
      <c r="D566" t="s">
        <v>149</v>
      </c>
      <c r="E566">
        <v>2024</v>
      </c>
      <c r="F566" t="s">
        <v>207</v>
      </c>
      <c r="G566" t="s">
        <v>208</v>
      </c>
      <c r="H566">
        <v>2305</v>
      </c>
      <c r="I566" t="s">
        <v>209</v>
      </c>
      <c r="J566" t="s">
        <v>210</v>
      </c>
      <c r="K566" t="s">
        <v>211</v>
      </c>
    </row>
    <row r="567" spans="1:11" x14ac:dyDescent="0.3">
      <c r="A567" t="s">
        <v>150</v>
      </c>
      <c r="B567" t="s">
        <v>20</v>
      </c>
      <c r="C567" t="s">
        <v>151</v>
      </c>
      <c r="D567" t="s">
        <v>152</v>
      </c>
      <c r="E567">
        <v>2024</v>
      </c>
      <c r="F567" t="s">
        <v>207</v>
      </c>
      <c r="G567" t="s">
        <v>208</v>
      </c>
      <c r="H567">
        <v>87823</v>
      </c>
      <c r="I567" t="s">
        <v>209</v>
      </c>
      <c r="J567" t="s">
        <v>210</v>
      </c>
      <c r="K567" t="s">
        <v>211</v>
      </c>
    </row>
    <row r="568" spans="1:11" x14ac:dyDescent="0.3">
      <c r="A568" t="s">
        <v>153</v>
      </c>
      <c r="B568" t="s">
        <v>20</v>
      </c>
      <c r="C568" t="s">
        <v>151</v>
      </c>
      <c r="D568" t="s">
        <v>154</v>
      </c>
      <c r="E568">
        <v>2024</v>
      </c>
      <c r="F568" t="s">
        <v>207</v>
      </c>
      <c r="G568" t="s">
        <v>208</v>
      </c>
      <c r="H568">
        <v>19896</v>
      </c>
      <c r="I568" t="s">
        <v>209</v>
      </c>
      <c r="J568" t="s">
        <v>210</v>
      </c>
      <c r="K568" t="s">
        <v>211</v>
      </c>
    </row>
    <row r="569" spans="1:11" x14ac:dyDescent="0.3">
      <c r="A569" t="s">
        <v>155</v>
      </c>
      <c r="B569" t="s">
        <v>20</v>
      </c>
      <c r="C569" t="s">
        <v>151</v>
      </c>
      <c r="D569" t="s">
        <v>156</v>
      </c>
      <c r="E569">
        <v>2024</v>
      </c>
      <c r="F569" t="s">
        <v>207</v>
      </c>
      <c r="G569" t="s">
        <v>208</v>
      </c>
      <c r="H569">
        <v>10395</v>
      </c>
      <c r="I569" t="s">
        <v>209</v>
      </c>
      <c r="J569" t="s">
        <v>210</v>
      </c>
      <c r="K569" t="s">
        <v>211</v>
      </c>
    </row>
    <row r="570" spans="1:11" x14ac:dyDescent="0.3">
      <c r="A570" t="s">
        <v>157</v>
      </c>
      <c r="B570" t="s">
        <v>20</v>
      </c>
      <c r="C570" t="s">
        <v>151</v>
      </c>
      <c r="D570" t="s">
        <v>158</v>
      </c>
      <c r="E570">
        <v>2024</v>
      </c>
      <c r="F570" t="s">
        <v>207</v>
      </c>
      <c r="G570" t="s">
        <v>208</v>
      </c>
      <c r="H570">
        <v>8960</v>
      </c>
      <c r="I570" t="s">
        <v>209</v>
      </c>
      <c r="J570" t="s">
        <v>210</v>
      </c>
      <c r="K570" t="s">
        <v>211</v>
      </c>
    </row>
    <row r="571" spans="1:11" x14ac:dyDescent="0.3">
      <c r="A571" t="s">
        <v>159</v>
      </c>
      <c r="B571" t="s">
        <v>20</v>
      </c>
      <c r="C571" t="s">
        <v>151</v>
      </c>
      <c r="D571" t="s">
        <v>160</v>
      </c>
      <c r="E571">
        <v>2024</v>
      </c>
      <c r="F571" t="s">
        <v>207</v>
      </c>
      <c r="G571" t="s">
        <v>208</v>
      </c>
      <c r="H571">
        <v>10421</v>
      </c>
      <c r="I571" t="s">
        <v>209</v>
      </c>
      <c r="J571" t="s">
        <v>210</v>
      </c>
      <c r="K571" t="s">
        <v>211</v>
      </c>
    </row>
    <row r="572" spans="1:11" x14ac:dyDescent="0.3">
      <c r="A572" t="s">
        <v>161</v>
      </c>
      <c r="B572" t="s">
        <v>20</v>
      </c>
      <c r="C572" t="s">
        <v>151</v>
      </c>
      <c r="D572" t="s">
        <v>162</v>
      </c>
      <c r="E572">
        <v>2024</v>
      </c>
      <c r="F572" t="s">
        <v>207</v>
      </c>
      <c r="G572" t="s">
        <v>208</v>
      </c>
      <c r="H572">
        <v>15379</v>
      </c>
      <c r="I572" t="s">
        <v>209</v>
      </c>
      <c r="J572" t="s">
        <v>210</v>
      </c>
      <c r="K572" t="s">
        <v>211</v>
      </c>
    </row>
    <row r="573" spans="1:11" x14ac:dyDescent="0.3">
      <c r="A573" t="s">
        <v>163</v>
      </c>
      <c r="B573" t="s">
        <v>20</v>
      </c>
      <c r="C573" t="s">
        <v>151</v>
      </c>
      <c r="D573" t="s">
        <v>164</v>
      </c>
      <c r="E573">
        <v>2024</v>
      </c>
      <c r="F573" t="s">
        <v>207</v>
      </c>
      <c r="G573" t="s">
        <v>208</v>
      </c>
      <c r="H573">
        <v>10104</v>
      </c>
      <c r="I573" t="s">
        <v>209</v>
      </c>
      <c r="J573" t="s">
        <v>210</v>
      </c>
      <c r="K573" t="s">
        <v>211</v>
      </c>
    </row>
    <row r="574" spans="1:11" x14ac:dyDescent="0.3">
      <c r="A574" t="s">
        <v>165</v>
      </c>
      <c r="B574" t="s">
        <v>20</v>
      </c>
      <c r="C574" t="s">
        <v>151</v>
      </c>
      <c r="D574" t="s">
        <v>166</v>
      </c>
      <c r="E574">
        <v>2024</v>
      </c>
      <c r="F574" t="s">
        <v>207</v>
      </c>
      <c r="G574" t="s">
        <v>208</v>
      </c>
      <c r="H574">
        <v>14816</v>
      </c>
      <c r="I574" t="s">
        <v>209</v>
      </c>
      <c r="J574" t="s">
        <v>210</v>
      </c>
      <c r="K574" t="s">
        <v>211</v>
      </c>
    </row>
    <row r="575" spans="1:11" x14ac:dyDescent="0.3">
      <c r="A575" t="s">
        <v>167</v>
      </c>
      <c r="B575" t="s">
        <v>20</v>
      </c>
      <c r="C575" t="s">
        <v>168</v>
      </c>
      <c r="D575" t="s">
        <v>169</v>
      </c>
      <c r="E575">
        <v>2024</v>
      </c>
      <c r="F575" t="s">
        <v>207</v>
      </c>
      <c r="G575" t="s">
        <v>208</v>
      </c>
      <c r="H575">
        <v>20610</v>
      </c>
      <c r="I575" t="s">
        <v>209</v>
      </c>
      <c r="J575" t="s">
        <v>210</v>
      </c>
      <c r="K575" t="s">
        <v>211</v>
      </c>
    </row>
    <row r="576" spans="1:11" x14ac:dyDescent="0.3">
      <c r="A576" t="s">
        <v>170</v>
      </c>
      <c r="B576" t="s">
        <v>20</v>
      </c>
      <c r="C576" t="s">
        <v>168</v>
      </c>
      <c r="D576" t="s">
        <v>171</v>
      </c>
      <c r="E576">
        <v>2024</v>
      </c>
      <c r="F576" t="s">
        <v>207</v>
      </c>
      <c r="G576" t="s">
        <v>208</v>
      </c>
      <c r="H576">
        <v>4736</v>
      </c>
      <c r="I576" t="s">
        <v>209</v>
      </c>
      <c r="J576" t="s">
        <v>210</v>
      </c>
      <c r="K576" t="s">
        <v>211</v>
      </c>
    </row>
    <row r="577" spans="1:11" x14ac:dyDescent="0.3">
      <c r="A577" t="s">
        <v>172</v>
      </c>
      <c r="B577" t="s">
        <v>20</v>
      </c>
      <c r="C577" t="s">
        <v>168</v>
      </c>
      <c r="D577" t="s">
        <v>173</v>
      </c>
      <c r="E577">
        <v>2024</v>
      </c>
      <c r="F577" t="s">
        <v>207</v>
      </c>
      <c r="G577" t="s">
        <v>208</v>
      </c>
      <c r="H577">
        <v>5566</v>
      </c>
      <c r="I577" t="s">
        <v>209</v>
      </c>
      <c r="J577" t="s">
        <v>210</v>
      </c>
      <c r="K577" t="s">
        <v>211</v>
      </c>
    </row>
    <row r="578" spans="1:11" x14ac:dyDescent="0.3">
      <c r="A578" t="s">
        <v>174</v>
      </c>
      <c r="B578" t="s">
        <v>20</v>
      </c>
      <c r="C578" t="s">
        <v>168</v>
      </c>
      <c r="D578" t="s">
        <v>175</v>
      </c>
      <c r="E578">
        <v>2024</v>
      </c>
      <c r="F578" t="s">
        <v>207</v>
      </c>
      <c r="G578" t="s">
        <v>208</v>
      </c>
      <c r="H578">
        <v>1821</v>
      </c>
      <c r="I578" t="s">
        <v>209</v>
      </c>
      <c r="J578" t="s">
        <v>210</v>
      </c>
      <c r="K578" t="s">
        <v>211</v>
      </c>
    </row>
    <row r="579" spans="1:11" x14ac:dyDescent="0.3">
      <c r="A579" t="s">
        <v>176</v>
      </c>
      <c r="B579" t="s">
        <v>20</v>
      </c>
      <c r="C579" t="s">
        <v>168</v>
      </c>
      <c r="D579" t="s">
        <v>177</v>
      </c>
      <c r="E579">
        <v>2024</v>
      </c>
      <c r="F579" t="s">
        <v>207</v>
      </c>
      <c r="G579" t="s">
        <v>208</v>
      </c>
      <c r="H579">
        <v>2363</v>
      </c>
      <c r="I579" t="s">
        <v>209</v>
      </c>
      <c r="J579" t="s">
        <v>210</v>
      </c>
      <c r="K579" t="s">
        <v>211</v>
      </c>
    </row>
    <row r="580" spans="1:11" x14ac:dyDescent="0.3">
      <c r="A580" t="s">
        <v>178</v>
      </c>
      <c r="B580" t="s">
        <v>20</v>
      </c>
      <c r="C580" t="s">
        <v>168</v>
      </c>
      <c r="D580" t="s">
        <v>179</v>
      </c>
      <c r="E580">
        <v>2024</v>
      </c>
      <c r="F580" t="s">
        <v>207</v>
      </c>
      <c r="G580" t="s">
        <v>208</v>
      </c>
      <c r="H580">
        <v>13653</v>
      </c>
      <c r="I580" t="s">
        <v>209</v>
      </c>
      <c r="J580" t="s">
        <v>210</v>
      </c>
      <c r="K580" t="s">
        <v>211</v>
      </c>
    </row>
    <row r="581" spans="1:11" x14ac:dyDescent="0.3">
      <c r="A581" t="s">
        <v>180</v>
      </c>
      <c r="B581" t="s">
        <v>20</v>
      </c>
      <c r="C581" t="s">
        <v>168</v>
      </c>
      <c r="D581" t="s">
        <v>181</v>
      </c>
      <c r="E581">
        <v>2024</v>
      </c>
      <c r="F581" t="s">
        <v>207</v>
      </c>
      <c r="G581" t="s">
        <v>208</v>
      </c>
      <c r="H581">
        <v>3007</v>
      </c>
      <c r="I581" t="s">
        <v>209</v>
      </c>
      <c r="J581" t="s">
        <v>210</v>
      </c>
      <c r="K581" t="s">
        <v>211</v>
      </c>
    </row>
    <row r="582" spans="1:11" x14ac:dyDescent="0.3">
      <c r="A582" t="s">
        <v>182</v>
      </c>
      <c r="B582" t="s">
        <v>20</v>
      </c>
      <c r="C582" t="s">
        <v>168</v>
      </c>
      <c r="D582" t="s">
        <v>183</v>
      </c>
      <c r="E582">
        <v>2024</v>
      </c>
      <c r="F582" t="s">
        <v>207</v>
      </c>
      <c r="G582" t="s">
        <v>208</v>
      </c>
      <c r="H582">
        <v>3669</v>
      </c>
      <c r="I582" t="s">
        <v>209</v>
      </c>
      <c r="J582" t="s">
        <v>210</v>
      </c>
      <c r="K582" t="s">
        <v>211</v>
      </c>
    </row>
    <row r="583" spans="1:11" x14ac:dyDescent="0.3">
      <c r="A583" t="s">
        <v>184</v>
      </c>
      <c r="B583" t="s">
        <v>20</v>
      </c>
      <c r="C583" t="s">
        <v>185</v>
      </c>
      <c r="D583" t="s">
        <v>186</v>
      </c>
      <c r="E583">
        <v>2024</v>
      </c>
      <c r="F583" t="s">
        <v>207</v>
      </c>
      <c r="G583" t="s">
        <v>208</v>
      </c>
      <c r="H583">
        <v>14434</v>
      </c>
      <c r="I583" t="s">
        <v>209</v>
      </c>
      <c r="J583" t="s">
        <v>210</v>
      </c>
      <c r="K583" t="s">
        <v>211</v>
      </c>
    </row>
    <row r="584" spans="1:11" x14ac:dyDescent="0.3">
      <c r="A584" t="s">
        <v>187</v>
      </c>
      <c r="B584" t="s">
        <v>20</v>
      </c>
      <c r="C584" t="s">
        <v>185</v>
      </c>
      <c r="D584" t="s">
        <v>188</v>
      </c>
      <c r="E584">
        <v>2024</v>
      </c>
      <c r="F584" t="s">
        <v>207</v>
      </c>
      <c r="G584" t="s">
        <v>208</v>
      </c>
      <c r="H584">
        <v>4702</v>
      </c>
      <c r="I584" t="s">
        <v>209</v>
      </c>
      <c r="J584" t="s">
        <v>210</v>
      </c>
      <c r="K584" t="s">
        <v>211</v>
      </c>
    </row>
    <row r="585" spans="1:11" x14ac:dyDescent="0.3">
      <c r="A585" t="s">
        <v>189</v>
      </c>
      <c r="B585" t="s">
        <v>20</v>
      </c>
      <c r="C585" t="s">
        <v>185</v>
      </c>
      <c r="D585" t="s">
        <v>190</v>
      </c>
      <c r="E585">
        <v>2024</v>
      </c>
      <c r="F585" t="s">
        <v>207</v>
      </c>
      <c r="G585" t="s">
        <v>208</v>
      </c>
      <c r="H585">
        <v>2607</v>
      </c>
      <c r="I585" t="s">
        <v>209</v>
      </c>
      <c r="J585" t="s">
        <v>210</v>
      </c>
      <c r="K585" t="s">
        <v>211</v>
      </c>
    </row>
    <row r="586" spans="1:11" x14ac:dyDescent="0.3">
      <c r="A586" t="s">
        <v>191</v>
      </c>
      <c r="B586" t="s">
        <v>20</v>
      </c>
      <c r="C586" t="s">
        <v>185</v>
      </c>
      <c r="D586" t="s">
        <v>192</v>
      </c>
      <c r="E586">
        <v>2024</v>
      </c>
      <c r="F586" t="s">
        <v>207</v>
      </c>
      <c r="G586" t="s">
        <v>208</v>
      </c>
      <c r="H586">
        <v>6246</v>
      </c>
      <c r="I586" t="s">
        <v>209</v>
      </c>
      <c r="J586" t="s">
        <v>210</v>
      </c>
      <c r="K586" t="s">
        <v>211</v>
      </c>
    </row>
    <row r="587" spans="1:11" x14ac:dyDescent="0.3">
      <c r="A587" t="s">
        <v>193</v>
      </c>
      <c r="B587" t="s">
        <v>20</v>
      </c>
      <c r="C587" t="s">
        <v>194</v>
      </c>
      <c r="D587" t="s">
        <v>195</v>
      </c>
      <c r="E587">
        <v>2024</v>
      </c>
      <c r="F587" t="s">
        <v>207</v>
      </c>
      <c r="G587" t="s">
        <v>208</v>
      </c>
      <c r="H587">
        <v>61312</v>
      </c>
      <c r="I587" t="s">
        <v>209</v>
      </c>
      <c r="J587" t="s">
        <v>210</v>
      </c>
      <c r="K587" t="s">
        <v>211</v>
      </c>
    </row>
    <row r="588" spans="1:11" x14ac:dyDescent="0.3">
      <c r="A588" t="s">
        <v>196</v>
      </c>
      <c r="B588" t="s">
        <v>20</v>
      </c>
      <c r="C588" t="s">
        <v>194</v>
      </c>
      <c r="D588" t="s">
        <v>197</v>
      </c>
      <c r="E588">
        <v>2024</v>
      </c>
      <c r="F588" t="s">
        <v>207</v>
      </c>
      <c r="G588" t="s">
        <v>208</v>
      </c>
      <c r="H588">
        <v>43889</v>
      </c>
      <c r="I588" t="s">
        <v>209</v>
      </c>
      <c r="J588" t="s">
        <v>210</v>
      </c>
      <c r="K588" t="s">
        <v>211</v>
      </c>
    </row>
    <row r="589" spans="1:11" x14ac:dyDescent="0.3">
      <c r="A589" t="s">
        <v>198</v>
      </c>
      <c r="B589" t="s">
        <v>20</v>
      </c>
      <c r="C589" t="s">
        <v>194</v>
      </c>
      <c r="D589" t="s">
        <v>199</v>
      </c>
      <c r="E589">
        <v>2024</v>
      </c>
      <c r="F589" t="s">
        <v>207</v>
      </c>
      <c r="G589" t="s">
        <v>208</v>
      </c>
      <c r="H589">
        <v>8060</v>
      </c>
      <c r="I589" t="s">
        <v>209</v>
      </c>
      <c r="J589" t="s">
        <v>210</v>
      </c>
      <c r="K589" t="s">
        <v>211</v>
      </c>
    </row>
    <row r="590" spans="1:11" x14ac:dyDescent="0.3">
      <c r="A590" t="s">
        <v>19</v>
      </c>
      <c r="B590" t="s">
        <v>20</v>
      </c>
      <c r="C590" t="s">
        <v>21</v>
      </c>
      <c r="D590" t="s">
        <v>22</v>
      </c>
      <c r="E590">
        <v>2025</v>
      </c>
      <c r="F590" t="s">
        <v>207</v>
      </c>
      <c r="G590" t="s">
        <v>208</v>
      </c>
      <c r="H590">
        <v>359982</v>
      </c>
      <c r="I590" t="s">
        <v>209</v>
      </c>
      <c r="J590" t="s">
        <v>210</v>
      </c>
      <c r="K590" t="s">
        <v>211</v>
      </c>
    </row>
    <row r="591" spans="1:11" x14ac:dyDescent="0.3">
      <c r="A591" t="s">
        <v>23</v>
      </c>
      <c r="B591" t="s">
        <v>20</v>
      </c>
      <c r="C591" t="s">
        <v>21</v>
      </c>
      <c r="D591" t="s">
        <v>24</v>
      </c>
      <c r="E591">
        <v>2025</v>
      </c>
      <c r="F591" t="s">
        <v>207</v>
      </c>
      <c r="G591" t="s">
        <v>208</v>
      </c>
      <c r="H591">
        <v>134258</v>
      </c>
      <c r="I591" t="s">
        <v>209</v>
      </c>
      <c r="J591" t="s">
        <v>210</v>
      </c>
      <c r="K591" t="s">
        <v>211</v>
      </c>
    </row>
    <row r="592" spans="1:11" x14ac:dyDescent="0.3">
      <c r="A592" t="s">
        <v>25</v>
      </c>
      <c r="B592" t="s">
        <v>20</v>
      </c>
      <c r="C592" t="s">
        <v>21</v>
      </c>
      <c r="D592" t="s">
        <v>26</v>
      </c>
      <c r="E592">
        <v>2025</v>
      </c>
      <c r="F592" t="s">
        <v>207</v>
      </c>
      <c r="G592" t="s">
        <v>208</v>
      </c>
      <c r="H592">
        <v>65310</v>
      </c>
      <c r="I592" t="s">
        <v>209</v>
      </c>
      <c r="J592" t="s">
        <v>210</v>
      </c>
      <c r="K592" t="s">
        <v>211</v>
      </c>
    </row>
    <row r="593" spans="1:11" x14ac:dyDescent="0.3">
      <c r="A593" t="s">
        <v>27</v>
      </c>
      <c r="B593" t="s">
        <v>20</v>
      </c>
      <c r="C593" t="s">
        <v>21</v>
      </c>
      <c r="D593" t="s">
        <v>28</v>
      </c>
      <c r="E593">
        <v>2025</v>
      </c>
      <c r="F593" t="s">
        <v>207</v>
      </c>
      <c r="G593" t="s">
        <v>208</v>
      </c>
      <c r="H593">
        <v>103075</v>
      </c>
      <c r="I593" t="s">
        <v>209</v>
      </c>
      <c r="J593" t="s">
        <v>210</v>
      </c>
      <c r="K593" t="s">
        <v>211</v>
      </c>
    </row>
    <row r="594" spans="1:11" x14ac:dyDescent="0.3">
      <c r="A594" t="s">
        <v>29</v>
      </c>
      <c r="B594" t="s">
        <v>20</v>
      </c>
      <c r="C594" t="s">
        <v>21</v>
      </c>
      <c r="D594" t="s">
        <v>30</v>
      </c>
      <c r="E594">
        <v>2025</v>
      </c>
      <c r="F594" t="s">
        <v>207</v>
      </c>
      <c r="G594" t="s">
        <v>208</v>
      </c>
      <c r="H594">
        <v>249310</v>
      </c>
      <c r="I594" t="s">
        <v>209</v>
      </c>
      <c r="J594" t="s">
        <v>210</v>
      </c>
      <c r="K594" t="s">
        <v>211</v>
      </c>
    </row>
    <row r="595" spans="1:11" x14ac:dyDescent="0.3">
      <c r="A595" t="s">
        <v>31</v>
      </c>
      <c r="B595" t="s">
        <v>20</v>
      </c>
      <c r="C595" t="s">
        <v>21</v>
      </c>
      <c r="D595" t="s">
        <v>32</v>
      </c>
      <c r="E595">
        <v>2025</v>
      </c>
      <c r="F595" t="s">
        <v>207</v>
      </c>
      <c r="G595" t="s">
        <v>208</v>
      </c>
      <c r="H595">
        <v>56718</v>
      </c>
      <c r="I595" t="s">
        <v>209</v>
      </c>
      <c r="J595" t="s">
        <v>210</v>
      </c>
      <c r="K595" t="s">
        <v>211</v>
      </c>
    </row>
    <row r="596" spans="1:11" x14ac:dyDescent="0.3">
      <c r="A596" t="s">
        <v>33</v>
      </c>
      <c r="B596" t="s">
        <v>20</v>
      </c>
      <c r="C596" t="s">
        <v>21</v>
      </c>
      <c r="D596" t="s">
        <v>34</v>
      </c>
      <c r="E596">
        <v>2025</v>
      </c>
      <c r="F596" t="s">
        <v>207</v>
      </c>
      <c r="G596" t="s">
        <v>208</v>
      </c>
      <c r="H596">
        <v>47246</v>
      </c>
      <c r="I596" t="s">
        <v>209</v>
      </c>
      <c r="J596" t="s">
        <v>210</v>
      </c>
      <c r="K596" t="s">
        <v>211</v>
      </c>
    </row>
    <row r="597" spans="1:11" x14ac:dyDescent="0.3">
      <c r="A597" t="s">
        <v>35</v>
      </c>
      <c r="B597" t="s">
        <v>20</v>
      </c>
      <c r="C597" t="s">
        <v>21</v>
      </c>
      <c r="D597" t="s">
        <v>36</v>
      </c>
      <c r="E597">
        <v>2025</v>
      </c>
      <c r="F597" t="s">
        <v>207</v>
      </c>
      <c r="G597" t="s">
        <v>208</v>
      </c>
      <c r="H597">
        <v>4032</v>
      </c>
      <c r="I597" t="s">
        <v>209</v>
      </c>
      <c r="J597" t="s">
        <v>210</v>
      </c>
      <c r="K597" t="s">
        <v>211</v>
      </c>
    </row>
    <row r="598" spans="1:11" x14ac:dyDescent="0.3">
      <c r="A598" t="s">
        <v>37</v>
      </c>
      <c r="B598" t="s">
        <v>20</v>
      </c>
      <c r="C598" t="s">
        <v>21</v>
      </c>
      <c r="D598" t="s">
        <v>38</v>
      </c>
      <c r="E598">
        <v>2025</v>
      </c>
      <c r="F598" t="s">
        <v>207</v>
      </c>
      <c r="G598" t="s">
        <v>208</v>
      </c>
      <c r="H598">
        <v>25844</v>
      </c>
      <c r="I598" t="s">
        <v>209</v>
      </c>
      <c r="J598" t="s">
        <v>210</v>
      </c>
      <c r="K598" t="s">
        <v>211</v>
      </c>
    </row>
    <row r="599" spans="1:11" x14ac:dyDescent="0.3">
      <c r="A599" t="s">
        <v>39</v>
      </c>
      <c r="B599" t="s">
        <v>20</v>
      </c>
      <c r="C599" t="s">
        <v>21</v>
      </c>
      <c r="D599" t="s">
        <v>40</v>
      </c>
      <c r="E599">
        <v>2025</v>
      </c>
      <c r="F599" t="s">
        <v>207</v>
      </c>
      <c r="G599" t="s">
        <v>208</v>
      </c>
      <c r="H599">
        <v>4658</v>
      </c>
      <c r="I599" t="s">
        <v>209</v>
      </c>
      <c r="J599" t="s">
        <v>210</v>
      </c>
      <c r="K599" t="s">
        <v>211</v>
      </c>
    </row>
    <row r="600" spans="1:11" x14ac:dyDescent="0.3">
      <c r="A600" t="s">
        <v>41</v>
      </c>
      <c r="B600" t="s">
        <v>20</v>
      </c>
      <c r="C600" t="s">
        <v>21</v>
      </c>
      <c r="D600" t="s">
        <v>42</v>
      </c>
      <c r="E600">
        <v>2025</v>
      </c>
      <c r="F600" t="s">
        <v>207</v>
      </c>
      <c r="G600" t="s">
        <v>208</v>
      </c>
      <c r="H600">
        <v>85912</v>
      </c>
      <c r="I600" t="s">
        <v>209</v>
      </c>
      <c r="J600" t="s">
        <v>210</v>
      </c>
      <c r="K600" t="s">
        <v>211</v>
      </c>
    </row>
    <row r="601" spans="1:11" x14ac:dyDescent="0.3">
      <c r="A601" t="s">
        <v>43</v>
      </c>
      <c r="B601" t="s">
        <v>20</v>
      </c>
      <c r="C601" t="s">
        <v>21</v>
      </c>
      <c r="D601" t="s">
        <v>44</v>
      </c>
      <c r="E601">
        <v>2025</v>
      </c>
      <c r="F601" t="s">
        <v>207</v>
      </c>
      <c r="G601" t="s">
        <v>208</v>
      </c>
      <c r="H601">
        <v>87632</v>
      </c>
      <c r="I601" t="s">
        <v>209</v>
      </c>
      <c r="J601" t="s">
        <v>210</v>
      </c>
      <c r="K601" t="s">
        <v>211</v>
      </c>
    </row>
    <row r="602" spans="1:11" x14ac:dyDescent="0.3">
      <c r="A602" t="s">
        <v>45</v>
      </c>
      <c r="B602" t="s">
        <v>20</v>
      </c>
      <c r="C602" t="s">
        <v>46</v>
      </c>
      <c r="D602" t="s">
        <v>47</v>
      </c>
      <c r="E602">
        <v>2025</v>
      </c>
      <c r="F602" t="s">
        <v>207</v>
      </c>
      <c r="G602" t="s">
        <v>208</v>
      </c>
      <c r="H602">
        <v>6848</v>
      </c>
      <c r="I602" t="s">
        <v>209</v>
      </c>
      <c r="J602" t="s">
        <v>210</v>
      </c>
      <c r="K602" t="s">
        <v>211</v>
      </c>
    </row>
    <row r="603" spans="1:11" x14ac:dyDescent="0.3">
      <c r="A603" t="s">
        <v>48</v>
      </c>
      <c r="B603" t="s">
        <v>20</v>
      </c>
      <c r="C603" t="s">
        <v>46</v>
      </c>
      <c r="D603" t="s">
        <v>49</v>
      </c>
      <c r="E603">
        <v>2025</v>
      </c>
      <c r="F603" t="s">
        <v>207</v>
      </c>
      <c r="G603" t="s">
        <v>208</v>
      </c>
      <c r="H603">
        <v>16245</v>
      </c>
      <c r="I603" t="s">
        <v>209</v>
      </c>
      <c r="J603" t="s">
        <v>210</v>
      </c>
      <c r="K603" t="s">
        <v>211</v>
      </c>
    </row>
    <row r="604" spans="1:11" x14ac:dyDescent="0.3">
      <c r="A604" t="s">
        <v>50</v>
      </c>
      <c r="B604" t="s">
        <v>20</v>
      </c>
      <c r="C604" t="s">
        <v>46</v>
      </c>
      <c r="D604" t="s">
        <v>51</v>
      </c>
      <c r="E604">
        <v>2025</v>
      </c>
      <c r="F604" t="s">
        <v>207</v>
      </c>
      <c r="G604" t="s">
        <v>208</v>
      </c>
      <c r="H604">
        <v>9743</v>
      </c>
      <c r="I604" t="s">
        <v>209</v>
      </c>
      <c r="J604" t="s">
        <v>210</v>
      </c>
      <c r="K604" t="s">
        <v>211</v>
      </c>
    </row>
    <row r="605" spans="1:11" x14ac:dyDescent="0.3">
      <c r="A605" t="s">
        <v>52</v>
      </c>
      <c r="B605" t="s">
        <v>20</v>
      </c>
      <c r="C605" t="s">
        <v>46</v>
      </c>
      <c r="D605" t="s">
        <v>53</v>
      </c>
      <c r="E605">
        <v>2025</v>
      </c>
      <c r="F605" t="s">
        <v>207</v>
      </c>
      <c r="G605" t="s">
        <v>208</v>
      </c>
      <c r="H605">
        <v>2609</v>
      </c>
      <c r="I605" t="s">
        <v>209</v>
      </c>
      <c r="J605" t="s">
        <v>210</v>
      </c>
      <c r="K605" t="s">
        <v>211</v>
      </c>
    </row>
    <row r="606" spans="1:11" x14ac:dyDescent="0.3">
      <c r="A606" t="s">
        <v>54</v>
      </c>
      <c r="B606" t="s">
        <v>20</v>
      </c>
      <c r="C606" t="s">
        <v>46</v>
      </c>
      <c r="D606" t="s">
        <v>55</v>
      </c>
      <c r="E606">
        <v>2025</v>
      </c>
      <c r="F606" t="s">
        <v>207</v>
      </c>
      <c r="G606" t="s">
        <v>208</v>
      </c>
      <c r="H606">
        <v>30960</v>
      </c>
      <c r="I606" t="s">
        <v>209</v>
      </c>
      <c r="J606" t="s">
        <v>210</v>
      </c>
      <c r="K606" t="s">
        <v>211</v>
      </c>
    </row>
    <row r="607" spans="1:11" x14ac:dyDescent="0.3">
      <c r="A607" t="s">
        <v>56</v>
      </c>
      <c r="B607" t="s">
        <v>20</v>
      </c>
      <c r="C607" t="s">
        <v>46</v>
      </c>
      <c r="D607" t="s">
        <v>57</v>
      </c>
      <c r="E607">
        <v>2025</v>
      </c>
      <c r="F607" t="s">
        <v>207</v>
      </c>
      <c r="G607" t="s">
        <v>208</v>
      </c>
      <c r="H607">
        <v>9745</v>
      </c>
      <c r="I607" t="s">
        <v>209</v>
      </c>
      <c r="J607" t="s">
        <v>210</v>
      </c>
      <c r="K607" t="s">
        <v>211</v>
      </c>
    </row>
    <row r="608" spans="1:11" x14ac:dyDescent="0.3">
      <c r="A608" t="s">
        <v>58</v>
      </c>
      <c r="B608" t="s">
        <v>20</v>
      </c>
      <c r="C608" t="s">
        <v>46</v>
      </c>
      <c r="D608" t="s">
        <v>59</v>
      </c>
      <c r="E608">
        <v>2025</v>
      </c>
      <c r="F608" t="s">
        <v>207</v>
      </c>
      <c r="G608" t="s">
        <v>208</v>
      </c>
      <c r="H608">
        <v>20204</v>
      </c>
      <c r="I608" t="s">
        <v>209</v>
      </c>
      <c r="J608" t="s">
        <v>210</v>
      </c>
      <c r="K608" t="s">
        <v>211</v>
      </c>
    </row>
    <row r="609" spans="1:11" x14ac:dyDescent="0.3">
      <c r="A609" t="s">
        <v>60</v>
      </c>
      <c r="B609" t="s">
        <v>20</v>
      </c>
      <c r="C609" t="s">
        <v>46</v>
      </c>
      <c r="D609" t="s">
        <v>61</v>
      </c>
      <c r="E609">
        <v>2025</v>
      </c>
      <c r="F609" t="s">
        <v>207</v>
      </c>
      <c r="G609" t="s">
        <v>208</v>
      </c>
      <c r="H609">
        <v>29984</v>
      </c>
      <c r="I609" t="s">
        <v>209</v>
      </c>
      <c r="J609" t="s">
        <v>210</v>
      </c>
      <c r="K609" t="s">
        <v>211</v>
      </c>
    </row>
    <row r="610" spans="1:11" x14ac:dyDescent="0.3">
      <c r="A610" t="s">
        <v>62</v>
      </c>
      <c r="B610" t="s">
        <v>20</v>
      </c>
      <c r="C610" t="s">
        <v>63</v>
      </c>
      <c r="D610" t="s">
        <v>64</v>
      </c>
      <c r="E610">
        <v>2025</v>
      </c>
      <c r="F610" t="s">
        <v>207</v>
      </c>
      <c r="G610" t="s">
        <v>208</v>
      </c>
      <c r="H610">
        <v>5133</v>
      </c>
      <c r="I610" t="s">
        <v>209</v>
      </c>
      <c r="J610" t="s">
        <v>210</v>
      </c>
      <c r="K610" t="s">
        <v>211</v>
      </c>
    </row>
    <row r="611" spans="1:11" x14ac:dyDescent="0.3">
      <c r="A611" t="s">
        <v>65</v>
      </c>
      <c r="B611" t="s">
        <v>20</v>
      </c>
      <c r="C611" t="s">
        <v>63</v>
      </c>
      <c r="D611" t="s">
        <v>66</v>
      </c>
      <c r="E611">
        <v>2025</v>
      </c>
      <c r="F611" t="s">
        <v>207</v>
      </c>
      <c r="G611" t="s">
        <v>208</v>
      </c>
      <c r="H611">
        <v>3016</v>
      </c>
      <c r="I611" t="s">
        <v>209</v>
      </c>
      <c r="J611" t="s">
        <v>210</v>
      </c>
      <c r="K611" t="s">
        <v>211</v>
      </c>
    </row>
    <row r="612" spans="1:11" x14ac:dyDescent="0.3">
      <c r="A612" t="s">
        <v>67</v>
      </c>
      <c r="B612" t="s">
        <v>20</v>
      </c>
      <c r="C612" t="s">
        <v>63</v>
      </c>
      <c r="D612" t="s">
        <v>68</v>
      </c>
      <c r="E612">
        <v>2025</v>
      </c>
      <c r="F612" t="s">
        <v>207</v>
      </c>
      <c r="G612" t="s">
        <v>208</v>
      </c>
      <c r="H612">
        <v>2110</v>
      </c>
      <c r="I612" t="s">
        <v>209</v>
      </c>
      <c r="J612" t="s">
        <v>210</v>
      </c>
      <c r="K612" t="s">
        <v>211</v>
      </c>
    </row>
    <row r="613" spans="1:11" x14ac:dyDescent="0.3">
      <c r="A613" t="s">
        <v>69</v>
      </c>
      <c r="B613" t="s">
        <v>20</v>
      </c>
      <c r="C613" t="s">
        <v>63</v>
      </c>
      <c r="D613" t="s">
        <v>70</v>
      </c>
      <c r="E613">
        <v>2025</v>
      </c>
      <c r="F613" t="s">
        <v>207</v>
      </c>
      <c r="G613" t="s">
        <v>208</v>
      </c>
      <c r="H613">
        <v>2372</v>
      </c>
      <c r="I613" t="s">
        <v>209</v>
      </c>
      <c r="J613" t="s">
        <v>210</v>
      </c>
      <c r="K613" t="s">
        <v>211</v>
      </c>
    </row>
    <row r="614" spans="1:11" x14ac:dyDescent="0.3">
      <c r="A614" t="s">
        <v>71</v>
      </c>
      <c r="B614" t="s">
        <v>20</v>
      </c>
      <c r="C614" t="s">
        <v>63</v>
      </c>
      <c r="D614" t="s">
        <v>72</v>
      </c>
      <c r="E614">
        <v>2025</v>
      </c>
      <c r="F614" t="s">
        <v>207</v>
      </c>
      <c r="G614" t="s">
        <v>208</v>
      </c>
      <c r="H614">
        <v>2220</v>
      </c>
      <c r="I614" t="s">
        <v>209</v>
      </c>
      <c r="J614" t="s">
        <v>210</v>
      </c>
      <c r="K614" t="s">
        <v>211</v>
      </c>
    </row>
    <row r="615" spans="1:11" x14ac:dyDescent="0.3">
      <c r="A615" t="s">
        <v>73</v>
      </c>
      <c r="B615" t="s">
        <v>20</v>
      </c>
      <c r="C615" t="s">
        <v>63</v>
      </c>
      <c r="D615" t="s">
        <v>74</v>
      </c>
      <c r="E615">
        <v>2025</v>
      </c>
      <c r="F615" t="s">
        <v>207</v>
      </c>
      <c r="G615" t="s">
        <v>208</v>
      </c>
      <c r="H615">
        <v>887</v>
      </c>
      <c r="I615" t="s">
        <v>209</v>
      </c>
      <c r="J615" t="s">
        <v>210</v>
      </c>
      <c r="K615" t="s">
        <v>211</v>
      </c>
    </row>
    <row r="616" spans="1:11" x14ac:dyDescent="0.3">
      <c r="A616" t="s">
        <v>75</v>
      </c>
      <c r="B616" t="s">
        <v>20</v>
      </c>
      <c r="C616" t="s">
        <v>76</v>
      </c>
      <c r="D616" t="s">
        <v>77</v>
      </c>
      <c r="E616">
        <v>2025</v>
      </c>
      <c r="F616" t="s">
        <v>207</v>
      </c>
      <c r="G616" t="s">
        <v>208</v>
      </c>
      <c r="H616">
        <v>50115</v>
      </c>
      <c r="I616" t="s">
        <v>209</v>
      </c>
      <c r="J616" t="s">
        <v>210</v>
      </c>
      <c r="K616" t="s">
        <v>211</v>
      </c>
    </row>
    <row r="617" spans="1:11" x14ac:dyDescent="0.3">
      <c r="A617" t="s">
        <v>78</v>
      </c>
      <c r="B617" t="s">
        <v>20</v>
      </c>
      <c r="C617" t="s">
        <v>76</v>
      </c>
      <c r="D617" t="s">
        <v>79</v>
      </c>
      <c r="E617">
        <v>2025</v>
      </c>
      <c r="F617" t="s">
        <v>207</v>
      </c>
      <c r="G617" t="s">
        <v>208</v>
      </c>
      <c r="H617">
        <v>26986</v>
      </c>
      <c r="I617" t="s">
        <v>209</v>
      </c>
      <c r="J617" t="s">
        <v>210</v>
      </c>
      <c r="K617" t="s">
        <v>211</v>
      </c>
    </row>
    <row r="618" spans="1:11" x14ac:dyDescent="0.3">
      <c r="A618" t="s">
        <v>80</v>
      </c>
      <c r="B618" t="s">
        <v>20</v>
      </c>
      <c r="C618" t="s">
        <v>76</v>
      </c>
      <c r="D618" t="s">
        <v>81</v>
      </c>
      <c r="E618">
        <v>2025</v>
      </c>
      <c r="F618" t="s">
        <v>207</v>
      </c>
      <c r="G618" t="s">
        <v>208</v>
      </c>
      <c r="H618">
        <v>12954</v>
      </c>
      <c r="I618" t="s">
        <v>209</v>
      </c>
      <c r="J618" t="s">
        <v>210</v>
      </c>
      <c r="K618" t="s">
        <v>211</v>
      </c>
    </row>
    <row r="619" spans="1:11" x14ac:dyDescent="0.3">
      <c r="A619" t="s">
        <v>82</v>
      </c>
      <c r="B619" t="s">
        <v>20</v>
      </c>
      <c r="C619" t="s">
        <v>83</v>
      </c>
      <c r="D619" t="s">
        <v>84</v>
      </c>
      <c r="E619">
        <v>2025</v>
      </c>
      <c r="F619" t="s">
        <v>207</v>
      </c>
      <c r="G619" t="s">
        <v>208</v>
      </c>
      <c r="H619">
        <v>12821</v>
      </c>
      <c r="I619" t="s">
        <v>209</v>
      </c>
      <c r="J619" t="s">
        <v>210</v>
      </c>
      <c r="K619" t="s">
        <v>211</v>
      </c>
    </row>
    <row r="620" spans="1:11" x14ac:dyDescent="0.3">
      <c r="A620" t="s">
        <v>85</v>
      </c>
      <c r="B620" t="s">
        <v>20</v>
      </c>
      <c r="C620" t="s">
        <v>83</v>
      </c>
      <c r="D620" t="s">
        <v>86</v>
      </c>
      <c r="E620">
        <v>2025</v>
      </c>
      <c r="F620" t="s">
        <v>207</v>
      </c>
      <c r="G620" t="s">
        <v>208</v>
      </c>
      <c r="H620">
        <v>4625</v>
      </c>
      <c r="I620" t="s">
        <v>209</v>
      </c>
      <c r="J620" t="s">
        <v>210</v>
      </c>
      <c r="K620" t="s">
        <v>211</v>
      </c>
    </row>
    <row r="621" spans="1:11" x14ac:dyDescent="0.3">
      <c r="A621" t="s">
        <v>87</v>
      </c>
      <c r="B621" t="s">
        <v>20</v>
      </c>
      <c r="C621" t="s">
        <v>83</v>
      </c>
      <c r="D621" t="s">
        <v>88</v>
      </c>
      <c r="E621">
        <v>2025</v>
      </c>
      <c r="F621" t="s">
        <v>207</v>
      </c>
      <c r="G621" t="s">
        <v>208</v>
      </c>
      <c r="H621">
        <v>6935</v>
      </c>
      <c r="I621" t="s">
        <v>209</v>
      </c>
      <c r="J621" t="s">
        <v>210</v>
      </c>
      <c r="K621" t="s">
        <v>211</v>
      </c>
    </row>
    <row r="622" spans="1:11" x14ac:dyDescent="0.3">
      <c r="A622" t="s">
        <v>89</v>
      </c>
      <c r="B622" t="s">
        <v>20</v>
      </c>
      <c r="C622" t="s">
        <v>83</v>
      </c>
      <c r="D622" t="s">
        <v>90</v>
      </c>
      <c r="E622">
        <v>2025</v>
      </c>
      <c r="F622" t="s">
        <v>207</v>
      </c>
      <c r="G622" t="s">
        <v>208</v>
      </c>
      <c r="H622">
        <v>6255</v>
      </c>
      <c r="I622" t="s">
        <v>209</v>
      </c>
      <c r="J622" t="s">
        <v>210</v>
      </c>
      <c r="K622" t="s">
        <v>211</v>
      </c>
    </row>
    <row r="623" spans="1:11" x14ac:dyDescent="0.3">
      <c r="A623" t="s">
        <v>91</v>
      </c>
      <c r="B623" t="s">
        <v>20</v>
      </c>
      <c r="C623" t="s">
        <v>92</v>
      </c>
      <c r="D623" t="s">
        <v>93</v>
      </c>
      <c r="E623">
        <v>2025</v>
      </c>
      <c r="F623" t="s">
        <v>207</v>
      </c>
      <c r="G623" t="s">
        <v>208</v>
      </c>
      <c r="H623">
        <v>27630</v>
      </c>
      <c r="I623" t="s">
        <v>209</v>
      </c>
      <c r="J623" t="s">
        <v>210</v>
      </c>
      <c r="K623" t="s">
        <v>211</v>
      </c>
    </row>
    <row r="624" spans="1:11" x14ac:dyDescent="0.3">
      <c r="A624" t="s">
        <v>94</v>
      </c>
      <c r="B624" t="s">
        <v>20</v>
      </c>
      <c r="C624" t="s">
        <v>92</v>
      </c>
      <c r="D624" t="s">
        <v>95</v>
      </c>
      <c r="E624">
        <v>2025</v>
      </c>
      <c r="F624" t="s">
        <v>207</v>
      </c>
      <c r="G624" t="s">
        <v>208</v>
      </c>
      <c r="H624">
        <v>10721</v>
      </c>
      <c r="I624" t="s">
        <v>209</v>
      </c>
      <c r="J624" t="s">
        <v>210</v>
      </c>
      <c r="K624" t="s">
        <v>211</v>
      </c>
    </row>
    <row r="625" spans="1:11" x14ac:dyDescent="0.3">
      <c r="A625" t="s">
        <v>96</v>
      </c>
      <c r="B625" t="s">
        <v>20</v>
      </c>
      <c r="C625" t="s">
        <v>92</v>
      </c>
      <c r="D625" t="s">
        <v>97</v>
      </c>
      <c r="E625">
        <v>2025</v>
      </c>
      <c r="F625" t="s">
        <v>207</v>
      </c>
      <c r="G625" t="s">
        <v>208</v>
      </c>
      <c r="H625">
        <v>2409</v>
      </c>
      <c r="I625" t="s">
        <v>209</v>
      </c>
      <c r="J625" t="s">
        <v>210</v>
      </c>
      <c r="K625" t="s">
        <v>211</v>
      </c>
    </row>
    <row r="626" spans="1:11" x14ac:dyDescent="0.3">
      <c r="A626" t="s">
        <v>98</v>
      </c>
      <c r="B626" t="s">
        <v>20</v>
      </c>
      <c r="C626" t="s">
        <v>92</v>
      </c>
      <c r="D626" t="s">
        <v>99</v>
      </c>
      <c r="E626">
        <v>2025</v>
      </c>
      <c r="F626" t="s">
        <v>207</v>
      </c>
      <c r="G626" t="s">
        <v>208</v>
      </c>
      <c r="H626">
        <v>3820</v>
      </c>
      <c r="I626" t="s">
        <v>209</v>
      </c>
      <c r="J626" t="s">
        <v>210</v>
      </c>
      <c r="K626" t="s">
        <v>211</v>
      </c>
    </row>
    <row r="627" spans="1:11" x14ac:dyDescent="0.3">
      <c r="A627" t="s">
        <v>100</v>
      </c>
      <c r="B627" t="s">
        <v>20</v>
      </c>
      <c r="C627" t="s">
        <v>92</v>
      </c>
      <c r="D627" t="s">
        <v>101</v>
      </c>
      <c r="E627">
        <v>2025</v>
      </c>
      <c r="F627" t="s">
        <v>207</v>
      </c>
      <c r="G627" t="s">
        <v>208</v>
      </c>
      <c r="H627">
        <v>651</v>
      </c>
      <c r="I627" t="s">
        <v>209</v>
      </c>
      <c r="J627" t="s">
        <v>210</v>
      </c>
      <c r="K627" t="s">
        <v>211</v>
      </c>
    </row>
    <row r="628" spans="1:11" x14ac:dyDescent="0.3">
      <c r="A628" t="s">
        <v>102</v>
      </c>
      <c r="B628" t="s">
        <v>20</v>
      </c>
      <c r="C628" t="s">
        <v>92</v>
      </c>
      <c r="D628" t="s">
        <v>103</v>
      </c>
      <c r="E628">
        <v>2025</v>
      </c>
      <c r="F628" t="s">
        <v>207</v>
      </c>
      <c r="G628" t="s">
        <v>208</v>
      </c>
      <c r="H628">
        <v>2770</v>
      </c>
      <c r="I628" t="s">
        <v>209</v>
      </c>
      <c r="J628" t="s">
        <v>210</v>
      </c>
      <c r="K628" t="s">
        <v>211</v>
      </c>
    </row>
    <row r="629" spans="1:11" x14ac:dyDescent="0.3">
      <c r="A629" t="s">
        <v>104</v>
      </c>
      <c r="B629" t="s">
        <v>20</v>
      </c>
      <c r="C629" t="s">
        <v>92</v>
      </c>
      <c r="D629" t="s">
        <v>105</v>
      </c>
      <c r="E629">
        <v>2025</v>
      </c>
      <c r="F629" t="s">
        <v>207</v>
      </c>
      <c r="G629" t="s">
        <v>208</v>
      </c>
      <c r="H629">
        <v>509</v>
      </c>
      <c r="I629" t="s">
        <v>209</v>
      </c>
      <c r="J629" t="s">
        <v>210</v>
      </c>
      <c r="K629" t="s">
        <v>211</v>
      </c>
    </row>
    <row r="630" spans="1:11" x14ac:dyDescent="0.3">
      <c r="A630" t="s">
        <v>106</v>
      </c>
      <c r="B630" t="s">
        <v>20</v>
      </c>
      <c r="C630" t="s">
        <v>92</v>
      </c>
      <c r="D630" t="s">
        <v>107</v>
      </c>
      <c r="E630">
        <v>2025</v>
      </c>
      <c r="F630" t="s">
        <v>207</v>
      </c>
      <c r="G630" t="s">
        <v>208</v>
      </c>
      <c r="H630">
        <v>6631</v>
      </c>
      <c r="I630" t="s">
        <v>209</v>
      </c>
      <c r="J630" t="s">
        <v>210</v>
      </c>
      <c r="K630" t="s">
        <v>211</v>
      </c>
    </row>
    <row r="631" spans="1:11" x14ac:dyDescent="0.3">
      <c r="A631" t="s">
        <v>108</v>
      </c>
      <c r="B631" t="s">
        <v>20</v>
      </c>
      <c r="C631" t="s">
        <v>92</v>
      </c>
      <c r="D631" t="s">
        <v>109</v>
      </c>
      <c r="E631">
        <v>2025</v>
      </c>
      <c r="F631" t="s">
        <v>207</v>
      </c>
      <c r="G631" t="s">
        <v>208</v>
      </c>
      <c r="H631">
        <v>7322</v>
      </c>
      <c r="I631" t="s">
        <v>209</v>
      </c>
      <c r="J631" t="s">
        <v>210</v>
      </c>
      <c r="K631" t="s">
        <v>211</v>
      </c>
    </row>
    <row r="632" spans="1:11" x14ac:dyDescent="0.3">
      <c r="A632" t="s">
        <v>110</v>
      </c>
      <c r="B632" t="s">
        <v>20</v>
      </c>
      <c r="C632" t="s">
        <v>92</v>
      </c>
      <c r="D632" t="s">
        <v>111</v>
      </c>
      <c r="E632">
        <v>2025</v>
      </c>
      <c r="F632" t="s">
        <v>207</v>
      </c>
      <c r="G632" t="s">
        <v>208</v>
      </c>
      <c r="H632">
        <v>21956</v>
      </c>
      <c r="I632" t="s">
        <v>209</v>
      </c>
      <c r="J632" t="s">
        <v>210</v>
      </c>
      <c r="K632" t="s">
        <v>211</v>
      </c>
    </row>
    <row r="633" spans="1:11" x14ac:dyDescent="0.3">
      <c r="A633" t="s">
        <v>112</v>
      </c>
      <c r="B633" t="s">
        <v>20</v>
      </c>
      <c r="C633" t="s">
        <v>113</v>
      </c>
      <c r="D633" t="s">
        <v>114</v>
      </c>
      <c r="E633">
        <v>2025</v>
      </c>
      <c r="F633" t="s">
        <v>207</v>
      </c>
      <c r="G633" t="s">
        <v>208</v>
      </c>
      <c r="H633">
        <v>20469</v>
      </c>
      <c r="I633" t="s">
        <v>209</v>
      </c>
      <c r="J633" t="s">
        <v>210</v>
      </c>
      <c r="K633" t="s">
        <v>211</v>
      </c>
    </row>
    <row r="634" spans="1:11" x14ac:dyDescent="0.3">
      <c r="A634" t="s">
        <v>115</v>
      </c>
      <c r="B634" t="s">
        <v>20</v>
      </c>
      <c r="C634" t="s">
        <v>113</v>
      </c>
      <c r="D634" t="s">
        <v>116</v>
      </c>
      <c r="E634">
        <v>2025</v>
      </c>
      <c r="F634" t="s">
        <v>207</v>
      </c>
      <c r="G634" t="s">
        <v>208</v>
      </c>
      <c r="H634">
        <v>46402</v>
      </c>
      <c r="I634" t="s">
        <v>209</v>
      </c>
      <c r="J634" t="s">
        <v>210</v>
      </c>
      <c r="K634" t="s">
        <v>211</v>
      </c>
    </row>
    <row r="635" spans="1:11" x14ac:dyDescent="0.3">
      <c r="A635" t="s">
        <v>117</v>
      </c>
      <c r="B635" t="s">
        <v>20</v>
      </c>
      <c r="C635" t="s">
        <v>113</v>
      </c>
      <c r="D635" t="s">
        <v>118</v>
      </c>
      <c r="E635">
        <v>2025</v>
      </c>
      <c r="F635" t="s">
        <v>207</v>
      </c>
      <c r="G635" t="s">
        <v>208</v>
      </c>
      <c r="H635">
        <v>5064</v>
      </c>
      <c r="I635" t="s">
        <v>209</v>
      </c>
      <c r="J635" t="s">
        <v>210</v>
      </c>
      <c r="K635" t="s">
        <v>211</v>
      </c>
    </row>
    <row r="636" spans="1:11" x14ac:dyDescent="0.3">
      <c r="A636" t="s">
        <v>119</v>
      </c>
      <c r="B636" t="s">
        <v>20</v>
      </c>
      <c r="C636" t="s">
        <v>113</v>
      </c>
      <c r="D636" t="s">
        <v>120</v>
      </c>
      <c r="E636">
        <v>2025</v>
      </c>
      <c r="F636" t="s">
        <v>207</v>
      </c>
      <c r="G636" t="s">
        <v>208</v>
      </c>
      <c r="H636">
        <v>34340</v>
      </c>
      <c r="I636" t="s">
        <v>209</v>
      </c>
      <c r="J636" t="s">
        <v>210</v>
      </c>
      <c r="K636" t="s">
        <v>211</v>
      </c>
    </row>
    <row r="637" spans="1:11" x14ac:dyDescent="0.3">
      <c r="A637" t="s">
        <v>121</v>
      </c>
      <c r="B637" t="s">
        <v>20</v>
      </c>
      <c r="C637" t="s">
        <v>113</v>
      </c>
      <c r="D637" t="s">
        <v>122</v>
      </c>
      <c r="E637">
        <v>2025</v>
      </c>
      <c r="F637" t="s">
        <v>207</v>
      </c>
      <c r="G637" t="s">
        <v>208</v>
      </c>
      <c r="H637">
        <v>13047</v>
      </c>
      <c r="I637" t="s">
        <v>209</v>
      </c>
      <c r="J637" t="s">
        <v>210</v>
      </c>
      <c r="K637" t="s">
        <v>211</v>
      </c>
    </row>
    <row r="638" spans="1:11" x14ac:dyDescent="0.3">
      <c r="A638" t="s">
        <v>123</v>
      </c>
      <c r="B638" t="s">
        <v>20</v>
      </c>
      <c r="C638" t="s">
        <v>124</v>
      </c>
      <c r="D638" t="s">
        <v>125</v>
      </c>
      <c r="E638">
        <v>2025</v>
      </c>
      <c r="F638" t="s">
        <v>207</v>
      </c>
      <c r="G638" t="s">
        <v>208</v>
      </c>
      <c r="H638">
        <v>13825</v>
      </c>
      <c r="I638" t="s">
        <v>209</v>
      </c>
      <c r="J638" t="s">
        <v>210</v>
      </c>
      <c r="K638" t="s">
        <v>211</v>
      </c>
    </row>
    <row r="639" spans="1:11" x14ac:dyDescent="0.3">
      <c r="A639" t="s">
        <v>126</v>
      </c>
      <c r="B639" t="s">
        <v>20</v>
      </c>
      <c r="C639" t="s">
        <v>124</v>
      </c>
      <c r="D639" t="s">
        <v>127</v>
      </c>
      <c r="E639">
        <v>2025</v>
      </c>
      <c r="F639" t="s">
        <v>207</v>
      </c>
      <c r="G639" t="s">
        <v>208</v>
      </c>
      <c r="H639">
        <v>4356</v>
      </c>
      <c r="I639" t="s">
        <v>209</v>
      </c>
      <c r="J639" t="s">
        <v>210</v>
      </c>
      <c r="K639" t="s">
        <v>211</v>
      </c>
    </row>
    <row r="640" spans="1:11" x14ac:dyDescent="0.3">
      <c r="A640" t="s">
        <v>128</v>
      </c>
      <c r="B640" t="s">
        <v>20</v>
      </c>
      <c r="C640" t="s">
        <v>124</v>
      </c>
      <c r="D640" t="s">
        <v>129</v>
      </c>
      <c r="E640">
        <v>2025</v>
      </c>
      <c r="F640" t="s">
        <v>207</v>
      </c>
      <c r="G640" t="s">
        <v>208</v>
      </c>
      <c r="H640">
        <v>13370</v>
      </c>
      <c r="I640" t="s">
        <v>209</v>
      </c>
      <c r="J640" t="s">
        <v>210</v>
      </c>
      <c r="K640" t="s">
        <v>211</v>
      </c>
    </row>
    <row r="641" spans="1:11" x14ac:dyDescent="0.3">
      <c r="A641" t="s">
        <v>130</v>
      </c>
      <c r="B641" t="s">
        <v>20</v>
      </c>
      <c r="C641" t="s">
        <v>124</v>
      </c>
      <c r="D641" t="s">
        <v>131</v>
      </c>
      <c r="E641">
        <v>2025</v>
      </c>
      <c r="F641" t="s">
        <v>207</v>
      </c>
      <c r="G641" t="s">
        <v>208</v>
      </c>
      <c r="H641">
        <v>6101</v>
      </c>
      <c r="I641" t="s">
        <v>209</v>
      </c>
      <c r="J641" t="s">
        <v>210</v>
      </c>
      <c r="K641" t="s">
        <v>211</v>
      </c>
    </row>
    <row r="642" spans="1:11" x14ac:dyDescent="0.3">
      <c r="A642" t="s">
        <v>132</v>
      </c>
      <c r="B642" t="s">
        <v>20</v>
      </c>
      <c r="C642" t="s">
        <v>124</v>
      </c>
      <c r="D642" t="s">
        <v>133</v>
      </c>
      <c r="E642">
        <v>2025</v>
      </c>
      <c r="F642" t="s">
        <v>207</v>
      </c>
      <c r="G642" t="s">
        <v>208</v>
      </c>
      <c r="H642">
        <v>950</v>
      </c>
      <c r="I642" t="s">
        <v>209</v>
      </c>
      <c r="J642" t="s">
        <v>210</v>
      </c>
      <c r="K642" t="s">
        <v>211</v>
      </c>
    </row>
    <row r="643" spans="1:11" x14ac:dyDescent="0.3">
      <c r="A643" t="s">
        <v>134</v>
      </c>
      <c r="B643" t="s">
        <v>20</v>
      </c>
      <c r="C643" t="s">
        <v>124</v>
      </c>
      <c r="D643" t="s">
        <v>135</v>
      </c>
      <c r="E643">
        <v>2025</v>
      </c>
      <c r="F643" t="s">
        <v>207</v>
      </c>
      <c r="G643" t="s">
        <v>208</v>
      </c>
      <c r="H643">
        <v>3670</v>
      </c>
      <c r="I643" t="s">
        <v>209</v>
      </c>
      <c r="J643" t="s">
        <v>210</v>
      </c>
      <c r="K643" t="s">
        <v>211</v>
      </c>
    </row>
    <row r="644" spans="1:11" x14ac:dyDescent="0.3">
      <c r="A644" t="s">
        <v>136</v>
      </c>
      <c r="B644" t="s">
        <v>20</v>
      </c>
      <c r="C644" t="s">
        <v>124</v>
      </c>
      <c r="D644" t="s">
        <v>137</v>
      </c>
      <c r="E644">
        <v>2025</v>
      </c>
      <c r="F644" t="s">
        <v>207</v>
      </c>
      <c r="G644" t="s">
        <v>208</v>
      </c>
      <c r="H644">
        <v>1279</v>
      </c>
      <c r="I644" t="s">
        <v>209</v>
      </c>
      <c r="J644" t="s">
        <v>210</v>
      </c>
      <c r="K644" t="s">
        <v>211</v>
      </c>
    </row>
    <row r="645" spans="1:11" x14ac:dyDescent="0.3">
      <c r="A645" t="s">
        <v>138</v>
      </c>
      <c r="B645" t="s">
        <v>20</v>
      </c>
      <c r="C645" t="s">
        <v>124</v>
      </c>
      <c r="D645" t="s">
        <v>139</v>
      </c>
      <c r="E645">
        <v>2025</v>
      </c>
      <c r="F645" t="s">
        <v>207</v>
      </c>
      <c r="G645" t="s">
        <v>208</v>
      </c>
      <c r="H645">
        <v>22645</v>
      </c>
      <c r="I645" t="s">
        <v>209</v>
      </c>
      <c r="J645" t="s">
        <v>210</v>
      </c>
      <c r="K645" t="s">
        <v>211</v>
      </c>
    </row>
    <row r="646" spans="1:11" x14ac:dyDescent="0.3">
      <c r="A646" t="s">
        <v>140</v>
      </c>
      <c r="B646" t="s">
        <v>20</v>
      </c>
      <c r="C646" t="s">
        <v>124</v>
      </c>
      <c r="D646" t="s">
        <v>141</v>
      </c>
      <c r="E646">
        <v>2025</v>
      </c>
      <c r="F646" t="s">
        <v>207</v>
      </c>
      <c r="G646" t="s">
        <v>208</v>
      </c>
      <c r="H646">
        <v>11895</v>
      </c>
      <c r="I646" t="s">
        <v>209</v>
      </c>
      <c r="J646" t="s">
        <v>210</v>
      </c>
      <c r="K646" t="s">
        <v>211</v>
      </c>
    </row>
    <row r="647" spans="1:11" x14ac:dyDescent="0.3">
      <c r="A647" t="s">
        <v>142</v>
      </c>
      <c r="B647" t="s">
        <v>20</v>
      </c>
      <c r="C647" t="s">
        <v>124</v>
      </c>
      <c r="D647" t="s">
        <v>143</v>
      </c>
      <c r="E647">
        <v>2025</v>
      </c>
      <c r="F647" t="s">
        <v>207</v>
      </c>
      <c r="G647" t="s">
        <v>208</v>
      </c>
      <c r="H647">
        <v>2023</v>
      </c>
      <c r="I647" t="s">
        <v>209</v>
      </c>
      <c r="J647" t="s">
        <v>210</v>
      </c>
      <c r="K647" t="s">
        <v>211</v>
      </c>
    </row>
    <row r="648" spans="1:11" x14ac:dyDescent="0.3">
      <c r="A648" t="s">
        <v>144</v>
      </c>
      <c r="B648" t="s">
        <v>20</v>
      </c>
      <c r="C648" t="s">
        <v>124</v>
      </c>
      <c r="D648" t="s">
        <v>145</v>
      </c>
      <c r="E648">
        <v>2025</v>
      </c>
      <c r="F648" t="s">
        <v>207</v>
      </c>
      <c r="G648" t="s">
        <v>208</v>
      </c>
      <c r="H648">
        <v>2166</v>
      </c>
      <c r="I648" t="s">
        <v>209</v>
      </c>
      <c r="J648" t="s">
        <v>210</v>
      </c>
      <c r="K648" t="s">
        <v>211</v>
      </c>
    </row>
    <row r="649" spans="1:11" x14ac:dyDescent="0.3">
      <c r="A649" t="s">
        <v>146</v>
      </c>
      <c r="B649" t="s">
        <v>20</v>
      </c>
      <c r="C649" t="s">
        <v>124</v>
      </c>
      <c r="D649" t="s">
        <v>147</v>
      </c>
      <c r="E649">
        <v>2025</v>
      </c>
      <c r="F649" t="s">
        <v>207</v>
      </c>
      <c r="G649" t="s">
        <v>208</v>
      </c>
      <c r="H649">
        <v>3026</v>
      </c>
      <c r="I649" t="s">
        <v>209</v>
      </c>
      <c r="J649" t="s">
        <v>210</v>
      </c>
      <c r="K649" t="s">
        <v>211</v>
      </c>
    </row>
    <row r="650" spans="1:11" x14ac:dyDescent="0.3">
      <c r="A650" t="s">
        <v>148</v>
      </c>
      <c r="B650" t="s">
        <v>20</v>
      </c>
      <c r="C650" t="s">
        <v>124</v>
      </c>
      <c r="D650" t="s">
        <v>149</v>
      </c>
      <c r="E650">
        <v>2025</v>
      </c>
      <c r="F650" t="s">
        <v>207</v>
      </c>
      <c r="G650" t="s">
        <v>208</v>
      </c>
      <c r="H650">
        <v>2283</v>
      </c>
      <c r="I650" t="s">
        <v>209</v>
      </c>
      <c r="J650" t="s">
        <v>210</v>
      </c>
      <c r="K650" t="s">
        <v>211</v>
      </c>
    </row>
    <row r="651" spans="1:11" x14ac:dyDescent="0.3">
      <c r="A651" t="s">
        <v>150</v>
      </c>
      <c r="B651" t="s">
        <v>20</v>
      </c>
      <c r="C651" t="s">
        <v>151</v>
      </c>
      <c r="D651" t="s">
        <v>152</v>
      </c>
      <c r="E651">
        <v>2025</v>
      </c>
      <c r="F651" t="s">
        <v>207</v>
      </c>
      <c r="G651" t="s">
        <v>208</v>
      </c>
      <c r="H651">
        <v>89656</v>
      </c>
      <c r="I651" t="s">
        <v>209</v>
      </c>
      <c r="J651" t="s">
        <v>210</v>
      </c>
      <c r="K651" t="s">
        <v>211</v>
      </c>
    </row>
    <row r="652" spans="1:11" x14ac:dyDescent="0.3">
      <c r="A652" t="s">
        <v>153</v>
      </c>
      <c r="B652" t="s">
        <v>20</v>
      </c>
      <c r="C652" t="s">
        <v>151</v>
      </c>
      <c r="D652" t="s">
        <v>154</v>
      </c>
      <c r="E652">
        <v>2025</v>
      </c>
      <c r="F652" t="s">
        <v>207</v>
      </c>
      <c r="G652" t="s">
        <v>208</v>
      </c>
      <c r="H652">
        <v>19982</v>
      </c>
      <c r="I652" t="s">
        <v>209</v>
      </c>
      <c r="J652" t="s">
        <v>210</v>
      </c>
      <c r="K652" t="s">
        <v>211</v>
      </c>
    </row>
    <row r="653" spans="1:11" x14ac:dyDescent="0.3">
      <c r="A653" t="s">
        <v>155</v>
      </c>
      <c r="B653" t="s">
        <v>20</v>
      </c>
      <c r="C653" t="s">
        <v>151</v>
      </c>
      <c r="D653" t="s">
        <v>156</v>
      </c>
      <c r="E653">
        <v>2025</v>
      </c>
      <c r="F653" t="s">
        <v>207</v>
      </c>
      <c r="G653" t="s">
        <v>208</v>
      </c>
      <c r="H653">
        <v>10452</v>
      </c>
      <c r="I653" t="s">
        <v>209</v>
      </c>
      <c r="J653" t="s">
        <v>210</v>
      </c>
      <c r="K653" t="s">
        <v>211</v>
      </c>
    </row>
    <row r="654" spans="1:11" x14ac:dyDescent="0.3">
      <c r="A654" t="s">
        <v>157</v>
      </c>
      <c r="B654" t="s">
        <v>20</v>
      </c>
      <c r="C654" t="s">
        <v>151</v>
      </c>
      <c r="D654" t="s">
        <v>158</v>
      </c>
      <c r="E654">
        <v>2025</v>
      </c>
      <c r="F654" t="s">
        <v>207</v>
      </c>
      <c r="G654" t="s">
        <v>208</v>
      </c>
      <c r="H654">
        <v>8981</v>
      </c>
      <c r="I654" t="s">
        <v>209</v>
      </c>
      <c r="J654" t="s">
        <v>210</v>
      </c>
      <c r="K654" t="s">
        <v>211</v>
      </c>
    </row>
    <row r="655" spans="1:11" x14ac:dyDescent="0.3">
      <c r="A655" t="s">
        <v>159</v>
      </c>
      <c r="B655" t="s">
        <v>20</v>
      </c>
      <c r="C655" t="s">
        <v>151</v>
      </c>
      <c r="D655" t="s">
        <v>160</v>
      </c>
      <c r="E655">
        <v>2025</v>
      </c>
      <c r="F655" t="s">
        <v>207</v>
      </c>
      <c r="G655" t="s">
        <v>208</v>
      </c>
      <c r="H655">
        <v>10166</v>
      </c>
      <c r="I655" t="s">
        <v>209</v>
      </c>
      <c r="J655" t="s">
        <v>210</v>
      </c>
      <c r="K655" t="s">
        <v>211</v>
      </c>
    </row>
    <row r="656" spans="1:11" x14ac:dyDescent="0.3">
      <c r="A656" t="s">
        <v>161</v>
      </c>
      <c r="B656" t="s">
        <v>20</v>
      </c>
      <c r="C656" t="s">
        <v>151</v>
      </c>
      <c r="D656" t="s">
        <v>162</v>
      </c>
      <c r="E656">
        <v>2025</v>
      </c>
      <c r="F656" t="s">
        <v>207</v>
      </c>
      <c r="G656" t="s">
        <v>208</v>
      </c>
      <c r="H656">
        <v>15459</v>
      </c>
      <c r="I656" t="s">
        <v>209</v>
      </c>
      <c r="J656" t="s">
        <v>210</v>
      </c>
      <c r="K656" t="s">
        <v>211</v>
      </c>
    </row>
    <row r="657" spans="1:11" x14ac:dyDescent="0.3">
      <c r="A657" t="s">
        <v>163</v>
      </c>
      <c r="B657" t="s">
        <v>20</v>
      </c>
      <c r="C657" t="s">
        <v>151</v>
      </c>
      <c r="D657" t="s">
        <v>164</v>
      </c>
      <c r="E657">
        <v>2025</v>
      </c>
      <c r="F657" t="s">
        <v>207</v>
      </c>
      <c r="G657" t="s">
        <v>208</v>
      </c>
      <c r="H657">
        <v>10130</v>
      </c>
      <c r="I657" t="s">
        <v>209</v>
      </c>
      <c r="J657" t="s">
        <v>210</v>
      </c>
      <c r="K657" t="s">
        <v>211</v>
      </c>
    </row>
    <row r="658" spans="1:11" x14ac:dyDescent="0.3">
      <c r="A658" t="s">
        <v>165</v>
      </c>
      <c r="B658" t="s">
        <v>20</v>
      </c>
      <c r="C658" t="s">
        <v>151</v>
      </c>
      <c r="D658" t="s">
        <v>166</v>
      </c>
      <c r="E658">
        <v>2025</v>
      </c>
      <c r="F658" t="s">
        <v>207</v>
      </c>
      <c r="G658" t="s">
        <v>208</v>
      </c>
      <c r="H658">
        <v>14888</v>
      </c>
      <c r="I658" t="s">
        <v>209</v>
      </c>
      <c r="J658" t="s">
        <v>210</v>
      </c>
      <c r="K658" t="s">
        <v>211</v>
      </c>
    </row>
    <row r="659" spans="1:11" x14ac:dyDescent="0.3">
      <c r="A659" t="s">
        <v>167</v>
      </c>
      <c r="B659" t="s">
        <v>20</v>
      </c>
      <c r="C659" t="s">
        <v>168</v>
      </c>
      <c r="D659" t="s">
        <v>169</v>
      </c>
      <c r="E659">
        <v>2025</v>
      </c>
      <c r="F659" t="s">
        <v>207</v>
      </c>
      <c r="G659" t="s">
        <v>208</v>
      </c>
      <c r="H659">
        <v>20652</v>
      </c>
      <c r="I659" t="s">
        <v>209</v>
      </c>
      <c r="J659" t="s">
        <v>210</v>
      </c>
      <c r="K659" t="s">
        <v>211</v>
      </c>
    </row>
    <row r="660" spans="1:11" x14ac:dyDescent="0.3">
      <c r="A660" t="s">
        <v>170</v>
      </c>
      <c r="B660" t="s">
        <v>20</v>
      </c>
      <c r="C660" t="s">
        <v>168</v>
      </c>
      <c r="D660" t="s">
        <v>171</v>
      </c>
      <c r="E660">
        <v>2025</v>
      </c>
      <c r="F660" t="s">
        <v>207</v>
      </c>
      <c r="G660" t="s">
        <v>208</v>
      </c>
      <c r="H660">
        <v>4669</v>
      </c>
      <c r="I660" t="s">
        <v>209</v>
      </c>
      <c r="J660" t="s">
        <v>210</v>
      </c>
      <c r="K660" t="s">
        <v>211</v>
      </c>
    </row>
    <row r="661" spans="1:11" x14ac:dyDescent="0.3">
      <c r="A661" t="s">
        <v>172</v>
      </c>
      <c r="B661" t="s">
        <v>20</v>
      </c>
      <c r="C661" t="s">
        <v>168</v>
      </c>
      <c r="D661" t="s">
        <v>173</v>
      </c>
      <c r="E661">
        <v>2025</v>
      </c>
      <c r="F661" t="s">
        <v>207</v>
      </c>
      <c r="G661" t="s">
        <v>208</v>
      </c>
      <c r="H661">
        <v>5507</v>
      </c>
      <c r="I661" t="s">
        <v>209</v>
      </c>
      <c r="J661" t="s">
        <v>210</v>
      </c>
      <c r="K661" t="s">
        <v>211</v>
      </c>
    </row>
    <row r="662" spans="1:11" x14ac:dyDescent="0.3">
      <c r="A662" t="s">
        <v>174</v>
      </c>
      <c r="B662" t="s">
        <v>20</v>
      </c>
      <c r="C662" t="s">
        <v>168</v>
      </c>
      <c r="D662" t="s">
        <v>175</v>
      </c>
      <c r="E662">
        <v>2025</v>
      </c>
      <c r="F662" t="s">
        <v>207</v>
      </c>
      <c r="G662" t="s">
        <v>208</v>
      </c>
      <c r="H662">
        <v>1813</v>
      </c>
      <c r="I662" t="s">
        <v>209</v>
      </c>
      <c r="J662" t="s">
        <v>210</v>
      </c>
      <c r="K662" t="s">
        <v>211</v>
      </c>
    </row>
    <row r="663" spans="1:11" x14ac:dyDescent="0.3">
      <c r="A663" t="s">
        <v>176</v>
      </c>
      <c r="B663" t="s">
        <v>20</v>
      </c>
      <c r="C663" t="s">
        <v>168</v>
      </c>
      <c r="D663" t="s">
        <v>177</v>
      </c>
      <c r="E663">
        <v>2025</v>
      </c>
      <c r="F663" t="s">
        <v>207</v>
      </c>
      <c r="G663" t="s">
        <v>208</v>
      </c>
      <c r="H663">
        <v>2341</v>
      </c>
      <c r="I663" t="s">
        <v>209</v>
      </c>
      <c r="J663" t="s">
        <v>210</v>
      </c>
      <c r="K663" t="s">
        <v>211</v>
      </c>
    </row>
    <row r="664" spans="1:11" x14ac:dyDescent="0.3">
      <c r="A664" t="s">
        <v>178</v>
      </c>
      <c r="B664" t="s">
        <v>20</v>
      </c>
      <c r="C664" t="s">
        <v>168</v>
      </c>
      <c r="D664" t="s">
        <v>179</v>
      </c>
      <c r="E664">
        <v>2025</v>
      </c>
      <c r="F664" t="s">
        <v>207</v>
      </c>
      <c r="G664" t="s">
        <v>208</v>
      </c>
      <c r="H664">
        <v>13627</v>
      </c>
      <c r="I664" t="s">
        <v>209</v>
      </c>
      <c r="J664" t="s">
        <v>210</v>
      </c>
      <c r="K664" t="s">
        <v>211</v>
      </c>
    </row>
    <row r="665" spans="1:11" x14ac:dyDescent="0.3">
      <c r="A665" t="s">
        <v>180</v>
      </c>
      <c r="B665" t="s">
        <v>20</v>
      </c>
      <c r="C665" t="s">
        <v>168</v>
      </c>
      <c r="D665" t="s">
        <v>181</v>
      </c>
      <c r="E665">
        <v>2025</v>
      </c>
      <c r="F665" t="s">
        <v>207</v>
      </c>
      <c r="G665" t="s">
        <v>208</v>
      </c>
      <c r="H665">
        <v>2994</v>
      </c>
      <c r="I665" t="s">
        <v>209</v>
      </c>
      <c r="J665" t="s">
        <v>210</v>
      </c>
      <c r="K665" t="s">
        <v>211</v>
      </c>
    </row>
    <row r="666" spans="1:11" x14ac:dyDescent="0.3">
      <c r="A666" t="s">
        <v>182</v>
      </c>
      <c r="B666" t="s">
        <v>20</v>
      </c>
      <c r="C666" t="s">
        <v>168</v>
      </c>
      <c r="D666" t="s">
        <v>183</v>
      </c>
      <c r="E666">
        <v>2025</v>
      </c>
      <c r="F666" t="s">
        <v>207</v>
      </c>
      <c r="G666" t="s">
        <v>208</v>
      </c>
      <c r="H666">
        <v>3663</v>
      </c>
      <c r="I666" t="s">
        <v>209</v>
      </c>
      <c r="J666" t="s">
        <v>210</v>
      </c>
      <c r="K666" t="s">
        <v>211</v>
      </c>
    </row>
    <row r="667" spans="1:11" x14ac:dyDescent="0.3">
      <c r="A667" t="s">
        <v>184</v>
      </c>
      <c r="B667" t="s">
        <v>20</v>
      </c>
      <c r="C667" t="s">
        <v>185</v>
      </c>
      <c r="D667" t="s">
        <v>186</v>
      </c>
      <c r="E667">
        <v>2025</v>
      </c>
      <c r="F667" t="s">
        <v>207</v>
      </c>
      <c r="G667" t="s">
        <v>208</v>
      </c>
      <c r="H667">
        <v>14462</v>
      </c>
      <c r="I667" t="s">
        <v>209</v>
      </c>
      <c r="J667" t="s">
        <v>210</v>
      </c>
      <c r="K667" t="s">
        <v>211</v>
      </c>
    </row>
    <row r="668" spans="1:11" x14ac:dyDescent="0.3">
      <c r="A668" t="s">
        <v>187</v>
      </c>
      <c r="B668" t="s">
        <v>20</v>
      </c>
      <c r="C668" t="s">
        <v>185</v>
      </c>
      <c r="D668" t="s">
        <v>188</v>
      </c>
      <c r="E668">
        <v>2025</v>
      </c>
      <c r="F668" t="s">
        <v>207</v>
      </c>
      <c r="G668" t="s">
        <v>208</v>
      </c>
      <c r="H668">
        <v>4651</v>
      </c>
      <c r="I668" t="s">
        <v>209</v>
      </c>
      <c r="J668" t="s">
        <v>210</v>
      </c>
      <c r="K668" t="s">
        <v>211</v>
      </c>
    </row>
    <row r="669" spans="1:11" x14ac:dyDescent="0.3">
      <c r="A669" t="s">
        <v>189</v>
      </c>
      <c r="B669" t="s">
        <v>20</v>
      </c>
      <c r="C669" t="s">
        <v>185</v>
      </c>
      <c r="D669" t="s">
        <v>190</v>
      </c>
      <c r="E669">
        <v>2025</v>
      </c>
      <c r="F669" t="s">
        <v>207</v>
      </c>
      <c r="G669" t="s">
        <v>208</v>
      </c>
      <c r="H669">
        <v>2619</v>
      </c>
      <c r="I669" t="s">
        <v>209</v>
      </c>
      <c r="J669" t="s">
        <v>210</v>
      </c>
      <c r="K669" t="s">
        <v>211</v>
      </c>
    </row>
    <row r="670" spans="1:11" x14ac:dyDescent="0.3">
      <c r="A670" t="s">
        <v>191</v>
      </c>
      <c r="B670" t="s">
        <v>20</v>
      </c>
      <c r="C670" t="s">
        <v>185</v>
      </c>
      <c r="D670" t="s">
        <v>192</v>
      </c>
      <c r="E670">
        <v>2025</v>
      </c>
      <c r="F670" t="s">
        <v>207</v>
      </c>
      <c r="G670" t="s">
        <v>208</v>
      </c>
      <c r="H670">
        <v>6163</v>
      </c>
      <c r="I670" t="s">
        <v>209</v>
      </c>
      <c r="J670" t="s">
        <v>210</v>
      </c>
      <c r="K670" t="s">
        <v>211</v>
      </c>
    </row>
    <row r="671" spans="1:11" x14ac:dyDescent="0.3">
      <c r="A671" t="s">
        <v>193</v>
      </c>
      <c r="B671" t="s">
        <v>20</v>
      </c>
      <c r="C671" t="s">
        <v>194</v>
      </c>
      <c r="D671" t="s">
        <v>195</v>
      </c>
      <c r="E671">
        <v>2025</v>
      </c>
      <c r="F671" t="s">
        <v>207</v>
      </c>
      <c r="G671" t="s">
        <v>208</v>
      </c>
      <c r="H671">
        <v>61934</v>
      </c>
      <c r="I671" t="s">
        <v>209</v>
      </c>
      <c r="J671" t="s">
        <v>210</v>
      </c>
      <c r="K671" t="s">
        <v>211</v>
      </c>
    </row>
    <row r="672" spans="1:11" x14ac:dyDescent="0.3">
      <c r="A672" t="s">
        <v>196</v>
      </c>
      <c r="B672" t="s">
        <v>20</v>
      </c>
      <c r="C672" t="s">
        <v>194</v>
      </c>
      <c r="D672" t="s">
        <v>197</v>
      </c>
      <c r="E672">
        <v>2025</v>
      </c>
      <c r="F672" t="s">
        <v>207</v>
      </c>
      <c r="G672" t="s">
        <v>208</v>
      </c>
      <c r="H672">
        <v>44915</v>
      </c>
      <c r="I672" t="s">
        <v>209</v>
      </c>
      <c r="J672" t="s">
        <v>210</v>
      </c>
      <c r="K672" t="s">
        <v>211</v>
      </c>
    </row>
    <row r="673" spans="1:11" x14ac:dyDescent="0.3">
      <c r="A673" t="s">
        <v>198</v>
      </c>
      <c r="B673" t="s">
        <v>20</v>
      </c>
      <c r="C673" t="s">
        <v>194</v>
      </c>
      <c r="D673" t="s">
        <v>199</v>
      </c>
      <c r="E673">
        <v>2025</v>
      </c>
      <c r="F673" t="s">
        <v>207</v>
      </c>
      <c r="G673" t="s">
        <v>208</v>
      </c>
      <c r="H673">
        <v>8145</v>
      </c>
      <c r="I673" t="s">
        <v>209</v>
      </c>
      <c r="J673" t="s">
        <v>210</v>
      </c>
      <c r="K673" t="s">
        <v>211</v>
      </c>
    </row>
    <row r="674" spans="1:11" x14ac:dyDescent="0.3">
      <c r="A674" t="s">
        <v>19</v>
      </c>
      <c r="B674" t="s">
        <v>20</v>
      </c>
      <c r="C674" t="s">
        <v>21</v>
      </c>
      <c r="D674" t="s">
        <v>22</v>
      </c>
      <c r="E674">
        <v>2026</v>
      </c>
      <c r="F674" t="s">
        <v>207</v>
      </c>
      <c r="G674" t="s">
        <v>208</v>
      </c>
      <c r="H674">
        <v>362958</v>
      </c>
      <c r="I674" t="s">
        <v>209</v>
      </c>
      <c r="J674" t="s">
        <v>210</v>
      </c>
      <c r="K674" t="s">
        <v>211</v>
      </c>
    </row>
    <row r="675" spans="1:11" x14ac:dyDescent="0.3">
      <c r="A675" t="s">
        <v>23</v>
      </c>
      <c r="B675" t="s">
        <v>20</v>
      </c>
      <c r="C675" t="s">
        <v>21</v>
      </c>
      <c r="D675" t="s">
        <v>24</v>
      </c>
      <c r="E675">
        <v>2026</v>
      </c>
      <c r="F675" t="s">
        <v>207</v>
      </c>
      <c r="G675" t="s">
        <v>208</v>
      </c>
      <c r="H675">
        <v>136781</v>
      </c>
      <c r="I675" t="s">
        <v>209</v>
      </c>
      <c r="J675" t="s">
        <v>210</v>
      </c>
      <c r="K675" t="s">
        <v>211</v>
      </c>
    </row>
    <row r="676" spans="1:11" x14ac:dyDescent="0.3">
      <c r="A676" t="s">
        <v>25</v>
      </c>
      <c r="B676" t="s">
        <v>20</v>
      </c>
      <c r="C676" t="s">
        <v>21</v>
      </c>
      <c r="D676" t="s">
        <v>26</v>
      </c>
      <c r="E676">
        <v>2026</v>
      </c>
      <c r="F676" t="s">
        <v>207</v>
      </c>
      <c r="G676" t="s">
        <v>208</v>
      </c>
      <c r="H676">
        <v>66537</v>
      </c>
      <c r="I676" t="s">
        <v>209</v>
      </c>
      <c r="J676" t="s">
        <v>210</v>
      </c>
      <c r="K676" t="s">
        <v>211</v>
      </c>
    </row>
    <row r="677" spans="1:11" x14ac:dyDescent="0.3">
      <c r="A677" t="s">
        <v>27</v>
      </c>
      <c r="B677" t="s">
        <v>20</v>
      </c>
      <c r="C677" t="s">
        <v>21</v>
      </c>
      <c r="D677" t="s">
        <v>28</v>
      </c>
      <c r="E677">
        <v>2026</v>
      </c>
      <c r="F677" t="s">
        <v>207</v>
      </c>
      <c r="G677" t="s">
        <v>208</v>
      </c>
      <c r="H677">
        <v>106117</v>
      </c>
      <c r="I677" t="s">
        <v>209</v>
      </c>
      <c r="J677" t="s">
        <v>210</v>
      </c>
      <c r="K677" t="s">
        <v>211</v>
      </c>
    </row>
    <row r="678" spans="1:11" x14ac:dyDescent="0.3">
      <c r="A678" t="s">
        <v>29</v>
      </c>
      <c r="B678" t="s">
        <v>20</v>
      </c>
      <c r="C678" t="s">
        <v>21</v>
      </c>
      <c r="D678" t="s">
        <v>30</v>
      </c>
      <c r="E678">
        <v>2026</v>
      </c>
      <c r="F678" t="s">
        <v>207</v>
      </c>
      <c r="G678" t="s">
        <v>208</v>
      </c>
      <c r="H678">
        <v>253998</v>
      </c>
      <c r="I678" t="s">
        <v>209</v>
      </c>
      <c r="J678" t="s">
        <v>210</v>
      </c>
      <c r="K678" t="s">
        <v>211</v>
      </c>
    </row>
    <row r="679" spans="1:11" x14ac:dyDescent="0.3">
      <c r="A679" t="s">
        <v>31</v>
      </c>
      <c r="B679" t="s">
        <v>20</v>
      </c>
      <c r="C679" t="s">
        <v>21</v>
      </c>
      <c r="D679" t="s">
        <v>32</v>
      </c>
      <c r="E679">
        <v>2026</v>
      </c>
      <c r="F679" t="s">
        <v>207</v>
      </c>
      <c r="G679" t="s">
        <v>208</v>
      </c>
      <c r="H679">
        <v>57784</v>
      </c>
      <c r="I679" t="s">
        <v>209</v>
      </c>
      <c r="J679" t="s">
        <v>210</v>
      </c>
      <c r="K679" t="s">
        <v>211</v>
      </c>
    </row>
    <row r="680" spans="1:11" x14ac:dyDescent="0.3">
      <c r="A680" t="s">
        <v>33</v>
      </c>
      <c r="B680" t="s">
        <v>20</v>
      </c>
      <c r="C680" t="s">
        <v>21</v>
      </c>
      <c r="D680" t="s">
        <v>34</v>
      </c>
      <c r="E680">
        <v>2026</v>
      </c>
      <c r="F680" t="s">
        <v>207</v>
      </c>
      <c r="G680" t="s">
        <v>208</v>
      </c>
      <c r="H680">
        <v>48097</v>
      </c>
      <c r="I680" t="s">
        <v>209</v>
      </c>
      <c r="J680" t="s">
        <v>210</v>
      </c>
      <c r="K680" t="s">
        <v>211</v>
      </c>
    </row>
    <row r="681" spans="1:11" x14ac:dyDescent="0.3">
      <c r="A681" t="s">
        <v>35</v>
      </c>
      <c r="B681" t="s">
        <v>20</v>
      </c>
      <c r="C681" t="s">
        <v>21</v>
      </c>
      <c r="D681" t="s">
        <v>36</v>
      </c>
      <c r="E681">
        <v>2026</v>
      </c>
      <c r="F681" t="s">
        <v>207</v>
      </c>
      <c r="G681" t="s">
        <v>208</v>
      </c>
      <c r="H681">
        <v>4054</v>
      </c>
      <c r="I681" t="s">
        <v>209</v>
      </c>
      <c r="J681" t="s">
        <v>210</v>
      </c>
      <c r="K681" t="s">
        <v>211</v>
      </c>
    </row>
    <row r="682" spans="1:11" x14ac:dyDescent="0.3">
      <c r="A682" t="s">
        <v>37</v>
      </c>
      <c r="B682" t="s">
        <v>20</v>
      </c>
      <c r="C682" t="s">
        <v>21</v>
      </c>
      <c r="D682" t="s">
        <v>38</v>
      </c>
      <c r="E682">
        <v>2026</v>
      </c>
      <c r="F682" t="s">
        <v>207</v>
      </c>
      <c r="G682" t="s">
        <v>208</v>
      </c>
      <c r="H682">
        <v>26442</v>
      </c>
      <c r="I682" t="s">
        <v>209</v>
      </c>
      <c r="J682" t="s">
        <v>210</v>
      </c>
      <c r="K682" t="s">
        <v>211</v>
      </c>
    </row>
    <row r="683" spans="1:11" x14ac:dyDescent="0.3">
      <c r="A683" t="s">
        <v>39</v>
      </c>
      <c r="B683" t="s">
        <v>20</v>
      </c>
      <c r="C683" t="s">
        <v>21</v>
      </c>
      <c r="D683" t="s">
        <v>40</v>
      </c>
      <c r="E683">
        <v>2026</v>
      </c>
      <c r="F683" t="s">
        <v>207</v>
      </c>
      <c r="G683" t="s">
        <v>208</v>
      </c>
      <c r="H683">
        <v>4685</v>
      </c>
      <c r="I683" t="s">
        <v>209</v>
      </c>
      <c r="J683" t="s">
        <v>210</v>
      </c>
      <c r="K683" t="s">
        <v>211</v>
      </c>
    </row>
    <row r="684" spans="1:11" x14ac:dyDescent="0.3">
      <c r="A684" t="s">
        <v>41</v>
      </c>
      <c r="B684" t="s">
        <v>20</v>
      </c>
      <c r="C684" t="s">
        <v>21</v>
      </c>
      <c r="D684" t="s">
        <v>42</v>
      </c>
      <c r="E684">
        <v>2026</v>
      </c>
      <c r="F684" t="s">
        <v>207</v>
      </c>
      <c r="G684" t="s">
        <v>208</v>
      </c>
      <c r="H684">
        <v>87367</v>
      </c>
      <c r="I684" t="s">
        <v>209</v>
      </c>
      <c r="J684" t="s">
        <v>210</v>
      </c>
      <c r="K684" t="s">
        <v>211</v>
      </c>
    </row>
    <row r="685" spans="1:11" x14ac:dyDescent="0.3">
      <c r="A685" t="s">
        <v>43</v>
      </c>
      <c r="B685" t="s">
        <v>20</v>
      </c>
      <c r="C685" t="s">
        <v>21</v>
      </c>
      <c r="D685" t="s">
        <v>44</v>
      </c>
      <c r="E685">
        <v>2026</v>
      </c>
      <c r="F685" t="s">
        <v>207</v>
      </c>
      <c r="G685" t="s">
        <v>208</v>
      </c>
      <c r="H685">
        <v>89279</v>
      </c>
      <c r="I685" t="s">
        <v>209</v>
      </c>
      <c r="J685" t="s">
        <v>210</v>
      </c>
      <c r="K685" t="s">
        <v>211</v>
      </c>
    </row>
    <row r="686" spans="1:11" x14ac:dyDescent="0.3">
      <c r="A686" t="s">
        <v>45</v>
      </c>
      <c r="B686" t="s">
        <v>20</v>
      </c>
      <c r="C686" t="s">
        <v>46</v>
      </c>
      <c r="D686" t="s">
        <v>47</v>
      </c>
      <c r="E686">
        <v>2026</v>
      </c>
      <c r="F686" t="s">
        <v>207</v>
      </c>
      <c r="G686" t="s">
        <v>208</v>
      </c>
      <c r="H686">
        <v>6840</v>
      </c>
      <c r="I686" t="s">
        <v>209</v>
      </c>
      <c r="J686" t="s">
        <v>210</v>
      </c>
      <c r="K686" t="s">
        <v>211</v>
      </c>
    </row>
    <row r="687" spans="1:11" x14ac:dyDescent="0.3">
      <c r="A687" t="s">
        <v>48</v>
      </c>
      <c r="B687" t="s">
        <v>20</v>
      </c>
      <c r="C687" t="s">
        <v>46</v>
      </c>
      <c r="D687" t="s">
        <v>49</v>
      </c>
      <c r="E687">
        <v>2026</v>
      </c>
      <c r="F687" t="s">
        <v>207</v>
      </c>
      <c r="G687" t="s">
        <v>208</v>
      </c>
      <c r="H687">
        <v>16262</v>
      </c>
      <c r="I687" t="s">
        <v>209</v>
      </c>
      <c r="J687" t="s">
        <v>210</v>
      </c>
      <c r="K687" t="s">
        <v>211</v>
      </c>
    </row>
    <row r="688" spans="1:11" x14ac:dyDescent="0.3">
      <c r="A688" t="s">
        <v>50</v>
      </c>
      <c r="B688" t="s">
        <v>20</v>
      </c>
      <c r="C688" t="s">
        <v>46</v>
      </c>
      <c r="D688" t="s">
        <v>51</v>
      </c>
      <c r="E688">
        <v>2026</v>
      </c>
      <c r="F688" t="s">
        <v>207</v>
      </c>
      <c r="G688" t="s">
        <v>208</v>
      </c>
      <c r="H688">
        <v>9717</v>
      </c>
      <c r="I688" t="s">
        <v>209</v>
      </c>
      <c r="J688" t="s">
        <v>210</v>
      </c>
      <c r="K688" t="s">
        <v>211</v>
      </c>
    </row>
    <row r="689" spans="1:11" x14ac:dyDescent="0.3">
      <c r="A689" t="s">
        <v>52</v>
      </c>
      <c r="B689" t="s">
        <v>20</v>
      </c>
      <c r="C689" t="s">
        <v>46</v>
      </c>
      <c r="D689" t="s">
        <v>53</v>
      </c>
      <c r="E689">
        <v>2026</v>
      </c>
      <c r="F689" t="s">
        <v>207</v>
      </c>
      <c r="G689" t="s">
        <v>208</v>
      </c>
      <c r="H689">
        <v>2595</v>
      </c>
      <c r="I689" t="s">
        <v>209</v>
      </c>
      <c r="J689" t="s">
        <v>210</v>
      </c>
      <c r="K689" t="s">
        <v>211</v>
      </c>
    </row>
    <row r="690" spans="1:11" x14ac:dyDescent="0.3">
      <c r="A690" t="s">
        <v>54</v>
      </c>
      <c r="B690" t="s">
        <v>20</v>
      </c>
      <c r="C690" t="s">
        <v>46</v>
      </c>
      <c r="D690" t="s">
        <v>55</v>
      </c>
      <c r="E690">
        <v>2026</v>
      </c>
      <c r="F690" t="s">
        <v>207</v>
      </c>
      <c r="G690" t="s">
        <v>208</v>
      </c>
      <c r="H690">
        <v>31332</v>
      </c>
      <c r="I690" t="s">
        <v>209</v>
      </c>
      <c r="J690" t="s">
        <v>210</v>
      </c>
      <c r="K690" t="s">
        <v>211</v>
      </c>
    </row>
    <row r="691" spans="1:11" x14ac:dyDescent="0.3">
      <c r="A691" t="s">
        <v>56</v>
      </c>
      <c r="B691" t="s">
        <v>20</v>
      </c>
      <c r="C691" t="s">
        <v>46</v>
      </c>
      <c r="D691" t="s">
        <v>57</v>
      </c>
      <c r="E691">
        <v>2026</v>
      </c>
      <c r="F691" t="s">
        <v>207</v>
      </c>
      <c r="G691" t="s">
        <v>208</v>
      </c>
      <c r="H691">
        <v>9801</v>
      </c>
      <c r="I691" t="s">
        <v>209</v>
      </c>
      <c r="J691" t="s">
        <v>210</v>
      </c>
      <c r="K691" t="s">
        <v>211</v>
      </c>
    </row>
    <row r="692" spans="1:11" x14ac:dyDescent="0.3">
      <c r="A692" t="s">
        <v>58</v>
      </c>
      <c r="B692" t="s">
        <v>20</v>
      </c>
      <c r="C692" t="s">
        <v>46</v>
      </c>
      <c r="D692" t="s">
        <v>59</v>
      </c>
      <c r="E692">
        <v>2026</v>
      </c>
      <c r="F692" t="s">
        <v>207</v>
      </c>
      <c r="G692" t="s">
        <v>208</v>
      </c>
      <c r="H692">
        <v>20227</v>
      </c>
      <c r="I692" t="s">
        <v>209</v>
      </c>
      <c r="J692" t="s">
        <v>210</v>
      </c>
      <c r="K692" t="s">
        <v>211</v>
      </c>
    </row>
    <row r="693" spans="1:11" x14ac:dyDescent="0.3">
      <c r="A693" t="s">
        <v>60</v>
      </c>
      <c r="B693" t="s">
        <v>20</v>
      </c>
      <c r="C693" t="s">
        <v>46</v>
      </c>
      <c r="D693" t="s">
        <v>61</v>
      </c>
      <c r="E693">
        <v>2026</v>
      </c>
      <c r="F693" t="s">
        <v>207</v>
      </c>
      <c r="G693" t="s">
        <v>208</v>
      </c>
      <c r="H693">
        <v>29996</v>
      </c>
      <c r="I693" t="s">
        <v>209</v>
      </c>
      <c r="J693" t="s">
        <v>210</v>
      </c>
      <c r="K693" t="s">
        <v>211</v>
      </c>
    </row>
    <row r="694" spans="1:11" x14ac:dyDescent="0.3">
      <c r="A694" t="s">
        <v>62</v>
      </c>
      <c r="B694" t="s">
        <v>20</v>
      </c>
      <c r="C694" t="s">
        <v>63</v>
      </c>
      <c r="D694" t="s">
        <v>64</v>
      </c>
      <c r="E694">
        <v>2026</v>
      </c>
      <c r="F694" t="s">
        <v>207</v>
      </c>
      <c r="G694" t="s">
        <v>208</v>
      </c>
      <c r="H694">
        <v>5145</v>
      </c>
      <c r="I694" t="s">
        <v>209</v>
      </c>
      <c r="J694" t="s">
        <v>210</v>
      </c>
      <c r="K694" t="s">
        <v>211</v>
      </c>
    </row>
    <row r="695" spans="1:11" x14ac:dyDescent="0.3">
      <c r="A695" t="s">
        <v>65</v>
      </c>
      <c r="B695" t="s">
        <v>20</v>
      </c>
      <c r="C695" t="s">
        <v>63</v>
      </c>
      <c r="D695" t="s">
        <v>66</v>
      </c>
      <c r="E695">
        <v>2026</v>
      </c>
      <c r="F695" t="s">
        <v>207</v>
      </c>
      <c r="G695" t="s">
        <v>208</v>
      </c>
      <c r="H695">
        <v>2986</v>
      </c>
      <c r="I695" t="s">
        <v>209</v>
      </c>
      <c r="J695" t="s">
        <v>210</v>
      </c>
      <c r="K695" t="s">
        <v>211</v>
      </c>
    </row>
    <row r="696" spans="1:11" x14ac:dyDescent="0.3">
      <c r="A696" t="s">
        <v>67</v>
      </c>
      <c r="B696" t="s">
        <v>20</v>
      </c>
      <c r="C696" t="s">
        <v>63</v>
      </c>
      <c r="D696" t="s">
        <v>68</v>
      </c>
      <c r="E696">
        <v>2026</v>
      </c>
      <c r="F696" t="s">
        <v>207</v>
      </c>
      <c r="G696" t="s">
        <v>208</v>
      </c>
      <c r="H696">
        <v>2101</v>
      </c>
      <c r="I696" t="s">
        <v>209</v>
      </c>
      <c r="J696" t="s">
        <v>210</v>
      </c>
      <c r="K696" t="s">
        <v>211</v>
      </c>
    </row>
    <row r="697" spans="1:11" x14ac:dyDescent="0.3">
      <c r="A697" t="s">
        <v>69</v>
      </c>
      <c r="B697" t="s">
        <v>20</v>
      </c>
      <c r="C697" t="s">
        <v>63</v>
      </c>
      <c r="D697" t="s">
        <v>70</v>
      </c>
      <c r="E697">
        <v>2026</v>
      </c>
      <c r="F697" t="s">
        <v>207</v>
      </c>
      <c r="G697" t="s">
        <v>208</v>
      </c>
      <c r="H697">
        <v>2378</v>
      </c>
      <c r="I697" t="s">
        <v>209</v>
      </c>
      <c r="J697" t="s">
        <v>210</v>
      </c>
      <c r="K697" t="s">
        <v>211</v>
      </c>
    </row>
    <row r="698" spans="1:11" x14ac:dyDescent="0.3">
      <c r="A698" t="s">
        <v>71</v>
      </c>
      <c r="B698" t="s">
        <v>20</v>
      </c>
      <c r="C698" t="s">
        <v>63</v>
      </c>
      <c r="D698" t="s">
        <v>72</v>
      </c>
      <c r="E698">
        <v>2026</v>
      </c>
      <c r="F698" t="s">
        <v>207</v>
      </c>
      <c r="G698" t="s">
        <v>208</v>
      </c>
      <c r="H698">
        <v>2184</v>
      </c>
      <c r="I698" t="s">
        <v>209</v>
      </c>
      <c r="J698" t="s">
        <v>210</v>
      </c>
      <c r="K698" t="s">
        <v>211</v>
      </c>
    </row>
    <row r="699" spans="1:11" x14ac:dyDescent="0.3">
      <c r="A699" t="s">
        <v>73</v>
      </c>
      <c r="B699" t="s">
        <v>20</v>
      </c>
      <c r="C699" t="s">
        <v>63</v>
      </c>
      <c r="D699" t="s">
        <v>74</v>
      </c>
      <c r="E699">
        <v>2026</v>
      </c>
      <c r="F699" t="s">
        <v>207</v>
      </c>
      <c r="G699" t="s">
        <v>208</v>
      </c>
      <c r="H699">
        <v>882</v>
      </c>
      <c r="I699" t="s">
        <v>209</v>
      </c>
      <c r="J699" t="s">
        <v>210</v>
      </c>
      <c r="K699" t="s">
        <v>211</v>
      </c>
    </row>
    <row r="700" spans="1:11" x14ac:dyDescent="0.3">
      <c r="A700" t="s">
        <v>75</v>
      </c>
      <c r="B700" t="s">
        <v>20</v>
      </c>
      <c r="C700" t="s">
        <v>76</v>
      </c>
      <c r="D700" t="s">
        <v>77</v>
      </c>
      <c r="E700">
        <v>2026</v>
      </c>
      <c r="F700" t="s">
        <v>207</v>
      </c>
      <c r="G700" t="s">
        <v>208</v>
      </c>
      <c r="H700">
        <v>50314</v>
      </c>
      <c r="I700" t="s">
        <v>209</v>
      </c>
      <c r="J700" t="s">
        <v>210</v>
      </c>
      <c r="K700" t="s">
        <v>211</v>
      </c>
    </row>
    <row r="701" spans="1:11" x14ac:dyDescent="0.3">
      <c r="A701" t="s">
        <v>78</v>
      </c>
      <c r="B701" t="s">
        <v>20</v>
      </c>
      <c r="C701" t="s">
        <v>76</v>
      </c>
      <c r="D701" t="s">
        <v>79</v>
      </c>
      <c r="E701">
        <v>2026</v>
      </c>
      <c r="F701" t="s">
        <v>207</v>
      </c>
      <c r="G701" t="s">
        <v>208</v>
      </c>
      <c r="H701">
        <v>27360</v>
      </c>
      <c r="I701" t="s">
        <v>209</v>
      </c>
      <c r="J701" t="s">
        <v>210</v>
      </c>
      <c r="K701" t="s">
        <v>211</v>
      </c>
    </row>
    <row r="702" spans="1:11" x14ac:dyDescent="0.3">
      <c r="A702" t="s">
        <v>80</v>
      </c>
      <c r="B702" t="s">
        <v>20</v>
      </c>
      <c r="C702" t="s">
        <v>76</v>
      </c>
      <c r="D702" t="s">
        <v>81</v>
      </c>
      <c r="E702">
        <v>2026</v>
      </c>
      <c r="F702" t="s">
        <v>207</v>
      </c>
      <c r="G702" t="s">
        <v>208</v>
      </c>
      <c r="H702">
        <v>12985</v>
      </c>
      <c r="I702" t="s">
        <v>209</v>
      </c>
      <c r="J702" t="s">
        <v>210</v>
      </c>
      <c r="K702" t="s">
        <v>211</v>
      </c>
    </row>
    <row r="703" spans="1:11" x14ac:dyDescent="0.3">
      <c r="A703" t="s">
        <v>82</v>
      </c>
      <c r="B703" t="s">
        <v>20</v>
      </c>
      <c r="C703" t="s">
        <v>83</v>
      </c>
      <c r="D703" t="s">
        <v>84</v>
      </c>
      <c r="E703">
        <v>2026</v>
      </c>
      <c r="F703" t="s">
        <v>207</v>
      </c>
      <c r="G703" t="s">
        <v>208</v>
      </c>
      <c r="H703">
        <v>12825</v>
      </c>
      <c r="I703" t="s">
        <v>209</v>
      </c>
      <c r="J703" t="s">
        <v>210</v>
      </c>
      <c r="K703" t="s">
        <v>211</v>
      </c>
    </row>
    <row r="704" spans="1:11" x14ac:dyDescent="0.3">
      <c r="A704" t="s">
        <v>85</v>
      </c>
      <c r="B704" t="s">
        <v>20</v>
      </c>
      <c r="C704" t="s">
        <v>83</v>
      </c>
      <c r="D704" t="s">
        <v>86</v>
      </c>
      <c r="E704">
        <v>2026</v>
      </c>
      <c r="F704" t="s">
        <v>207</v>
      </c>
      <c r="G704" t="s">
        <v>208</v>
      </c>
      <c r="H704">
        <v>4530</v>
      </c>
      <c r="I704" t="s">
        <v>209</v>
      </c>
      <c r="J704" t="s">
        <v>210</v>
      </c>
      <c r="K704" t="s">
        <v>211</v>
      </c>
    </row>
    <row r="705" spans="1:11" x14ac:dyDescent="0.3">
      <c r="A705" t="s">
        <v>87</v>
      </c>
      <c r="B705" t="s">
        <v>20</v>
      </c>
      <c r="C705" t="s">
        <v>83</v>
      </c>
      <c r="D705" t="s">
        <v>88</v>
      </c>
      <c r="E705">
        <v>2026</v>
      </c>
      <c r="F705" t="s">
        <v>207</v>
      </c>
      <c r="G705" t="s">
        <v>208</v>
      </c>
      <c r="H705">
        <v>6937</v>
      </c>
      <c r="I705" t="s">
        <v>209</v>
      </c>
      <c r="J705" t="s">
        <v>210</v>
      </c>
      <c r="K705" t="s">
        <v>211</v>
      </c>
    </row>
    <row r="706" spans="1:11" x14ac:dyDescent="0.3">
      <c r="A706" t="s">
        <v>89</v>
      </c>
      <c r="B706" t="s">
        <v>20</v>
      </c>
      <c r="C706" t="s">
        <v>83</v>
      </c>
      <c r="D706" t="s">
        <v>90</v>
      </c>
      <c r="E706">
        <v>2026</v>
      </c>
      <c r="F706" t="s">
        <v>207</v>
      </c>
      <c r="G706" t="s">
        <v>208</v>
      </c>
      <c r="H706">
        <v>6257</v>
      </c>
      <c r="I706" t="s">
        <v>209</v>
      </c>
      <c r="J706" t="s">
        <v>210</v>
      </c>
      <c r="K706" t="s">
        <v>211</v>
      </c>
    </row>
    <row r="707" spans="1:11" x14ac:dyDescent="0.3">
      <c r="A707" t="s">
        <v>91</v>
      </c>
      <c r="B707" t="s">
        <v>20</v>
      </c>
      <c r="C707" t="s">
        <v>92</v>
      </c>
      <c r="D707" t="s">
        <v>93</v>
      </c>
      <c r="E707">
        <v>2026</v>
      </c>
      <c r="F707" t="s">
        <v>207</v>
      </c>
      <c r="G707" t="s">
        <v>208</v>
      </c>
      <c r="H707">
        <v>27767</v>
      </c>
      <c r="I707" t="s">
        <v>209</v>
      </c>
      <c r="J707" t="s">
        <v>210</v>
      </c>
      <c r="K707" t="s">
        <v>211</v>
      </c>
    </row>
    <row r="708" spans="1:11" x14ac:dyDescent="0.3">
      <c r="A708" t="s">
        <v>94</v>
      </c>
      <c r="B708" t="s">
        <v>20</v>
      </c>
      <c r="C708" t="s">
        <v>92</v>
      </c>
      <c r="D708" t="s">
        <v>95</v>
      </c>
      <c r="E708">
        <v>2026</v>
      </c>
      <c r="F708" t="s">
        <v>207</v>
      </c>
      <c r="G708" t="s">
        <v>208</v>
      </c>
      <c r="H708">
        <v>10776</v>
      </c>
      <c r="I708" t="s">
        <v>209</v>
      </c>
      <c r="J708" t="s">
        <v>210</v>
      </c>
      <c r="K708" t="s">
        <v>211</v>
      </c>
    </row>
    <row r="709" spans="1:11" x14ac:dyDescent="0.3">
      <c r="A709" t="s">
        <v>96</v>
      </c>
      <c r="B709" t="s">
        <v>20</v>
      </c>
      <c r="C709" t="s">
        <v>92</v>
      </c>
      <c r="D709" t="s">
        <v>97</v>
      </c>
      <c r="E709">
        <v>2026</v>
      </c>
      <c r="F709" t="s">
        <v>207</v>
      </c>
      <c r="G709" t="s">
        <v>208</v>
      </c>
      <c r="H709">
        <v>2375</v>
      </c>
      <c r="I709" t="s">
        <v>209</v>
      </c>
      <c r="J709" t="s">
        <v>210</v>
      </c>
      <c r="K709" t="s">
        <v>211</v>
      </c>
    </row>
    <row r="710" spans="1:11" x14ac:dyDescent="0.3">
      <c r="A710" t="s">
        <v>98</v>
      </c>
      <c r="B710" t="s">
        <v>20</v>
      </c>
      <c r="C710" t="s">
        <v>92</v>
      </c>
      <c r="D710" t="s">
        <v>99</v>
      </c>
      <c r="E710">
        <v>2026</v>
      </c>
      <c r="F710" t="s">
        <v>207</v>
      </c>
      <c r="G710" t="s">
        <v>208</v>
      </c>
      <c r="H710">
        <v>3759</v>
      </c>
      <c r="I710" t="s">
        <v>209</v>
      </c>
      <c r="J710" t="s">
        <v>210</v>
      </c>
      <c r="K710" t="s">
        <v>211</v>
      </c>
    </row>
    <row r="711" spans="1:11" x14ac:dyDescent="0.3">
      <c r="A711" t="s">
        <v>100</v>
      </c>
      <c r="B711" t="s">
        <v>20</v>
      </c>
      <c r="C711" t="s">
        <v>92</v>
      </c>
      <c r="D711" t="s">
        <v>101</v>
      </c>
      <c r="E711">
        <v>2026</v>
      </c>
      <c r="F711" t="s">
        <v>207</v>
      </c>
      <c r="G711" t="s">
        <v>208</v>
      </c>
      <c r="H711">
        <v>646</v>
      </c>
      <c r="I711" t="s">
        <v>209</v>
      </c>
      <c r="J711" t="s">
        <v>210</v>
      </c>
      <c r="K711" t="s">
        <v>211</v>
      </c>
    </row>
    <row r="712" spans="1:11" x14ac:dyDescent="0.3">
      <c r="A712" t="s">
        <v>102</v>
      </c>
      <c r="B712" t="s">
        <v>20</v>
      </c>
      <c r="C712" t="s">
        <v>92</v>
      </c>
      <c r="D712" t="s">
        <v>103</v>
      </c>
      <c r="E712">
        <v>2026</v>
      </c>
      <c r="F712" t="s">
        <v>207</v>
      </c>
      <c r="G712" t="s">
        <v>208</v>
      </c>
      <c r="H712">
        <v>2748</v>
      </c>
      <c r="I712" t="s">
        <v>209</v>
      </c>
      <c r="J712" t="s">
        <v>210</v>
      </c>
      <c r="K712" t="s">
        <v>211</v>
      </c>
    </row>
    <row r="713" spans="1:11" x14ac:dyDescent="0.3">
      <c r="A713" t="s">
        <v>104</v>
      </c>
      <c r="B713" t="s">
        <v>20</v>
      </c>
      <c r="C713" t="s">
        <v>92</v>
      </c>
      <c r="D713" t="s">
        <v>105</v>
      </c>
      <c r="E713">
        <v>2026</v>
      </c>
      <c r="F713" t="s">
        <v>207</v>
      </c>
      <c r="G713" t="s">
        <v>208</v>
      </c>
      <c r="H713">
        <v>503</v>
      </c>
      <c r="I713" t="s">
        <v>209</v>
      </c>
      <c r="J713" t="s">
        <v>210</v>
      </c>
      <c r="K713" t="s">
        <v>211</v>
      </c>
    </row>
    <row r="714" spans="1:11" x14ac:dyDescent="0.3">
      <c r="A714" t="s">
        <v>106</v>
      </c>
      <c r="B714" t="s">
        <v>20</v>
      </c>
      <c r="C714" t="s">
        <v>92</v>
      </c>
      <c r="D714" t="s">
        <v>107</v>
      </c>
      <c r="E714">
        <v>2026</v>
      </c>
      <c r="F714" t="s">
        <v>207</v>
      </c>
      <c r="G714" t="s">
        <v>208</v>
      </c>
      <c r="H714">
        <v>6643</v>
      </c>
      <c r="I714" t="s">
        <v>209</v>
      </c>
      <c r="J714" t="s">
        <v>210</v>
      </c>
      <c r="K714" t="s">
        <v>211</v>
      </c>
    </row>
    <row r="715" spans="1:11" x14ac:dyDescent="0.3">
      <c r="A715" t="s">
        <v>108</v>
      </c>
      <c r="B715" t="s">
        <v>20</v>
      </c>
      <c r="C715" t="s">
        <v>92</v>
      </c>
      <c r="D715" t="s">
        <v>109</v>
      </c>
      <c r="E715">
        <v>2026</v>
      </c>
      <c r="F715" t="s">
        <v>207</v>
      </c>
      <c r="G715" t="s">
        <v>208</v>
      </c>
      <c r="H715">
        <v>7273</v>
      </c>
      <c r="I715" t="s">
        <v>209</v>
      </c>
      <c r="J715" t="s">
        <v>210</v>
      </c>
      <c r="K715" t="s">
        <v>211</v>
      </c>
    </row>
    <row r="716" spans="1:11" x14ac:dyDescent="0.3">
      <c r="A716" t="s">
        <v>110</v>
      </c>
      <c r="B716" t="s">
        <v>20</v>
      </c>
      <c r="C716" t="s">
        <v>92</v>
      </c>
      <c r="D716" t="s">
        <v>111</v>
      </c>
      <c r="E716">
        <v>2026</v>
      </c>
      <c r="F716" t="s">
        <v>207</v>
      </c>
      <c r="G716" t="s">
        <v>208</v>
      </c>
      <c r="H716">
        <v>21733</v>
      </c>
      <c r="I716" t="s">
        <v>209</v>
      </c>
      <c r="J716" t="s">
        <v>210</v>
      </c>
      <c r="K716" t="s">
        <v>211</v>
      </c>
    </row>
    <row r="717" spans="1:11" x14ac:dyDescent="0.3">
      <c r="A717" t="s">
        <v>112</v>
      </c>
      <c r="B717" t="s">
        <v>20</v>
      </c>
      <c r="C717" t="s">
        <v>113</v>
      </c>
      <c r="D717" t="s">
        <v>114</v>
      </c>
      <c r="E717">
        <v>2026</v>
      </c>
      <c r="F717" t="s">
        <v>207</v>
      </c>
      <c r="G717" t="s">
        <v>208</v>
      </c>
      <c r="H717">
        <v>20658</v>
      </c>
      <c r="I717" t="s">
        <v>209</v>
      </c>
      <c r="J717" t="s">
        <v>210</v>
      </c>
      <c r="K717" t="s">
        <v>211</v>
      </c>
    </row>
    <row r="718" spans="1:11" x14ac:dyDescent="0.3">
      <c r="A718" t="s">
        <v>115</v>
      </c>
      <c r="B718" t="s">
        <v>20</v>
      </c>
      <c r="C718" t="s">
        <v>113</v>
      </c>
      <c r="D718" t="s">
        <v>116</v>
      </c>
      <c r="E718">
        <v>2026</v>
      </c>
      <c r="F718" t="s">
        <v>207</v>
      </c>
      <c r="G718" t="s">
        <v>208</v>
      </c>
      <c r="H718">
        <v>46782</v>
      </c>
      <c r="I718" t="s">
        <v>209</v>
      </c>
      <c r="J718" t="s">
        <v>210</v>
      </c>
      <c r="K718" t="s">
        <v>211</v>
      </c>
    </row>
    <row r="719" spans="1:11" x14ac:dyDescent="0.3">
      <c r="A719" t="s">
        <v>117</v>
      </c>
      <c r="B719" t="s">
        <v>20</v>
      </c>
      <c r="C719" t="s">
        <v>113</v>
      </c>
      <c r="D719" t="s">
        <v>118</v>
      </c>
      <c r="E719">
        <v>2026</v>
      </c>
      <c r="F719" t="s">
        <v>207</v>
      </c>
      <c r="G719" t="s">
        <v>208</v>
      </c>
      <c r="H719">
        <v>5150</v>
      </c>
      <c r="I719" t="s">
        <v>209</v>
      </c>
      <c r="J719" t="s">
        <v>210</v>
      </c>
      <c r="K719" t="s">
        <v>211</v>
      </c>
    </row>
    <row r="720" spans="1:11" x14ac:dyDescent="0.3">
      <c r="A720" t="s">
        <v>119</v>
      </c>
      <c r="B720" t="s">
        <v>20</v>
      </c>
      <c r="C720" t="s">
        <v>113</v>
      </c>
      <c r="D720" t="s">
        <v>120</v>
      </c>
      <c r="E720">
        <v>2026</v>
      </c>
      <c r="F720" t="s">
        <v>207</v>
      </c>
      <c r="G720" t="s">
        <v>208</v>
      </c>
      <c r="H720">
        <v>34726</v>
      </c>
      <c r="I720" t="s">
        <v>209</v>
      </c>
      <c r="J720" t="s">
        <v>210</v>
      </c>
      <c r="K720" t="s">
        <v>211</v>
      </c>
    </row>
    <row r="721" spans="1:11" x14ac:dyDescent="0.3">
      <c r="A721" t="s">
        <v>121</v>
      </c>
      <c r="B721" t="s">
        <v>20</v>
      </c>
      <c r="C721" t="s">
        <v>113</v>
      </c>
      <c r="D721" t="s">
        <v>122</v>
      </c>
      <c r="E721">
        <v>2026</v>
      </c>
      <c r="F721" t="s">
        <v>207</v>
      </c>
      <c r="G721" t="s">
        <v>208</v>
      </c>
      <c r="H721">
        <v>13087</v>
      </c>
      <c r="I721" t="s">
        <v>209</v>
      </c>
      <c r="J721" t="s">
        <v>210</v>
      </c>
      <c r="K721" t="s">
        <v>211</v>
      </c>
    </row>
    <row r="722" spans="1:11" x14ac:dyDescent="0.3">
      <c r="A722" t="s">
        <v>123</v>
      </c>
      <c r="B722" t="s">
        <v>20</v>
      </c>
      <c r="C722" t="s">
        <v>124</v>
      </c>
      <c r="D722" t="s">
        <v>125</v>
      </c>
      <c r="E722">
        <v>2026</v>
      </c>
      <c r="F722" t="s">
        <v>207</v>
      </c>
      <c r="G722" t="s">
        <v>208</v>
      </c>
      <c r="H722">
        <v>13818</v>
      </c>
      <c r="I722" t="s">
        <v>209</v>
      </c>
      <c r="J722" t="s">
        <v>210</v>
      </c>
      <c r="K722" t="s">
        <v>211</v>
      </c>
    </row>
    <row r="723" spans="1:11" x14ac:dyDescent="0.3">
      <c r="A723" t="s">
        <v>126</v>
      </c>
      <c r="B723" t="s">
        <v>20</v>
      </c>
      <c r="C723" t="s">
        <v>124</v>
      </c>
      <c r="D723" t="s">
        <v>127</v>
      </c>
      <c r="E723">
        <v>2026</v>
      </c>
      <c r="F723" t="s">
        <v>207</v>
      </c>
      <c r="G723" t="s">
        <v>208</v>
      </c>
      <c r="H723">
        <v>4377</v>
      </c>
      <c r="I723" t="s">
        <v>209</v>
      </c>
      <c r="J723" t="s">
        <v>210</v>
      </c>
      <c r="K723" t="s">
        <v>211</v>
      </c>
    </row>
    <row r="724" spans="1:11" x14ac:dyDescent="0.3">
      <c r="A724" t="s">
        <v>128</v>
      </c>
      <c r="B724" t="s">
        <v>20</v>
      </c>
      <c r="C724" t="s">
        <v>124</v>
      </c>
      <c r="D724" t="s">
        <v>129</v>
      </c>
      <c r="E724">
        <v>2026</v>
      </c>
      <c r="F724" t="s">
        <v>207</v>
      </c>
      <c r="G724" t="s">
        <v>208</v>
      </c>
      <c r="H724">
        <v>13421</v>
      </c>
      <c r="I724" t="s">
        <v>209</v>
      </c>
      <c r="J724" t="s">
        <v>210</v>
      </c>
      <c r="K724" t="s">
        <v>211</v>
      </c>
    </row>
    <row r="725" spans="1:11" x14ac:dyDescent="0.3">
      <c r="A725" t="s">
        <v>130</v>
      </c>
      <c r="B725" t="s">
        <v>20</v>
      </c>
      <c r="C725" t="s">
        <v>124</v>
      </c>
      <c r="D725" t="s">
        <v>131</v>
      </c>
      <c r="E725">
        <v>2026</v>
      </c>
      <c r="F725" t="s">
        <v>207</v>
      </c>
      <c r="G725" t="s">
        <v>208</v>
      </c>
      <c r="H725">
        <v>6095</v>
      </c>
      <c r="I725" t="s">
        <v>209</v>
      </c>
      <c r="J725" t="s">
        <v>210</v>
      </c>
      <c r="K725" t="s">
        <v>211</v>
      </c>
    </row>
    <row r="726" spans="1:11" x14ac:dyDescent="0.3">
      <c r="A726" t="s">
        <v>132</v>
      </c>
      <c r="B726" t="s">
        <v>20</v>
      </c>
      <c r="C726" t="s">
        <v>124</v>
      </c>
      <c r="D726" t="s">
        <v>133</v>
      </c>
      <c r="E726">
        <v>2026</v>
      </c>
      <c r="F726" t="s">
        <v>207</v>
      </c>
      <c r="G726" t="s">
        <v>208</v>
      </c>
      <c r="H726">
        <v>922</v>
      </c>
      <c r="I726" t="s">
        <v>209</v>
      </c>
      <c r="J726" t="s">
        <v>210</v>
      </c>
      <c r="K726" t="s">
        <v>211</v>
      </c>
    </row>
    <row r="727" spans="1:11" x14ac:dyDescent="0.3">
      <c r="A727" t="s">
        <v>134</v>
      </c>
      <c r="B727" t="s">
        <v>20</v>
      </c>
      <c r="C727" t="s">
        <v>124</v>
      </c>
      <c r="D727" t="s">
        <v>135</v>
      </c>
      <c r="E727">
        <v>2026</v>
      </c>
      <c r="F727" t="s">
        <v>207</v>
      </c>
      <c r="G727" t="s">
        <v>208</v>
      </c>
      <c r="H727">
        <v>3656</v>
      </c>
      <c r="I727" t="s">
        <v>209</v>
      </c>
      <c r="J727" t="s">
        <v>210</v>
      </c>
      <c r="K727" t="s">
        <v>211</v>
      </c>
    </row>
    <row r="728" spans="1:11" x14ac:dyDescent="0.3">
      <c r="A728" t="s">
        <v>136</v>
      </c>
      <c r="B728" t="s">
        <v>20</v>
      </c>
      <c r="C728" t="s">
        <v>124</v>
      </c>
      <c r="D728" t="s">
        <v>137</v>
      </c>
      <c r="E728">
        <v>2026</v>
      </c>
      <c r="F728" t="s">
        <v>207</v>
      </c>
      <c r="G728" t="s">
        <v>208</v>
      </c>
      <c r="H728">
        <v>1266</v>
      </c>
      <c r="I728" t="s">
        <v>209</v>
      </c>
      <c r="J728" t="s">
        <v>210</v>
      </c>
      <c r="K728" t="s">
        <v>211</v>
      </c>
    </row>
    <row r="729" spans="1:11" x14ac:dyDescent="0.3">
      <c r="A729" t="s">
        <v>138</v>
      </c>
      <c r="B729" t="s">
        <v>20</v>
      </c>
      <c r="C729" t="s">
        <v>124</v>
      </c>
      <c r="D729" t="s">
        <v>139</v>
      </c>
      <c r="E729">
        <v>2026</v>
      </c>
      <c r="F729" t="s">
        <v>207</v>
      </c>
      <c r="G729" t="s">
        <v>208</v>
      </c>
      <c r="H729">
        <v>22884</v>
      </c>
      <c r="I729" t="s">
        <v>209</v>
      </c>
      <c r="J729" t="s">
        <v>210</v>
      </c>
      <c r="K729" t="s">
        <v>211</v>
      </c>
    </row>
    <row r="730" spans="1:11" x14ac:dyDescent="0.3">
      <c r="A730" t="s">
        <v>140</v>
      </c>
      <c r="B730" t="s">
        <v>20</v>
      </c>
      <c r="C730" t="s">
        <v>124</v>
      </c>
      <c r="D730" t="s">
        <v>141</v>
      </c>
      <c r="E730">
        <v>2026</v>
      </c>
      <c r="F730" t="s">
        <v>207</v>
      </c>
      <c r="G730" t="s">
        <v>208</v>
      </c>
      <c r="H730">
        <v>12072</v>
      </c>
      <c r="I730" t="s">
        <v>209</v>
      </c>
      <c r="J730" t="s">
        <v>210</v>
      </c>
      <c r="K730" t="s">
        <v>211</v>
      </c>
    </row>
    <row r="731" spans="1:11" x14ac:dyDescent="0.3">
      <c r="A731" t="s">
        <v>142</v>
      </c>
      <c r="B731" t="s">
        <v>20</v>
      </c>
      <c r="C731" t="s">
        <v>124</v>
      </c>
      <c r="D731" t="s">
        <v>143</v>
      </c>
      <c r="E731">
        <v>2026</v>
      </c>
      <c r="F731" t="s">
        <v>207</v>
      </c>
      <c r="G731" t="s">
        <v>208</v>
      </c>
      <c r="H731">
        <v>2041</v>
      </c>
      <c r="I731" t="s">
        <v>209</v>
      </c>
      <c r="J731" t="s">
        <v>210</v>
      </c>
      <c r="K731" t="s">
        <v>211</v>
      </c>
    </row>
    <row r="732" spans="1:11" x14ac:dyDescent="0.3">
      <c r="A732" t="s">
        <v>144</v>
      </c>
      <c r="B732" t="s">
        <v>20</v>
      </c>
      <c r="C732" t="s">
        <v>124</v>
      </c>
      <c r="D732" t="s">
        <v>145</v>
      </c>
      <c r="E732">
        <v>2026</v>
      </c>
      <c r="F732" t="s">
        <v>207</v>
      </c>
      <c r="G732" t="s">
        <v>208</v>
      </c>
      <c r="H732">
        <v>2146</v>
      </c>
      <c r="I732" t="s">
        <v>209</v>
      </c>
      <c r="J732" t="s">
        <v>210</v>
      </c>
      <c r="K732" t="s">
        <v>211</v>
      </c>
    </row>
    <row r="733" spans="1:11" x14ac:dyDescent="0.3">
      <c r="A733" t="s">
        <v>146</v>
      </c>
      <c r="B733" t="s">
        <v>20</v>
      </c>
      <c r="C733" t="s">
        <v>124</v>
      </c>
      <c r="D733" t="s">
        <v>147</v>
      </c>
      <c r="E733">
        <v>2026</v>
      </c>
      <c r="F733" t="s">
        <v>207</v>
      </c>
      <c r="G733" t="s">
        <v>208</v>
      </c>
      <c r="H733">
        <v>3025</v>
      </c>
      <c r="I733" t="s">
        <v>209</v>
      </c>
      <c r="J733" t="s">
        <v>210</v>
      </c>
      <c r="K733" t="s">
        <v>211</v>
      </c>
    </row>
    <row r="734" spans="1:11" x14ac:dyDescent="0.3">
      <c r="A734" t="s">
        <v>148</v>
      </c>
      <c r="B734" t="s">
        <v>20</v>
      </c>
      <c r="C734" t="s">
        <v>124</v>
      </c>
      <c r="D734" t="s">
        <v>149</v>
      </c>
      <c r="E734">
        <v>2026</v>
      </c>
      <c r="F734" t="s">
        <v>207</v>
      </c>
      <c r="G734" t="s">
        <v>208</v>
      </c>
      <c r="H734">
        <v>2261</v>
      </c>
      <c r="I734" t="s">
        <v>209</v>
      </c>
      <c r="J734" t="s">
        <v>210</v>
      </c>
      <c r="K734" t="s">
        <v>211</v>
      </c>
    </row>
    <row r="735" spans="1:11" x14ac:dyDescent="0.3">
      <c r="A735" t="s">
        <v>150</v>
      </c>
      <c r="B735" t="s">
        <v>20</v>
      </c>
      <c r="C735" t="s">
        <v>151</v>
      </c>
      <c r="D735" t="s">
        <v>152</v>
      </c>
      <c r="E735">
        <v>2026</v>
      </c>
      <c r="F735" t="s">
        <v>207</v>
      </c>
      <c r="G735" t="s">
        <v>208</v>
      </c>
      <c r="H735">
        <v>91478</v>
      </c>
      <c r="I735" t="s">
        <v>209</v>
      </c>
      <c r="J735" t="s">
        <v>210</v>
      </c>
      <c r="K735" t="s">
        <v>211</v>
      </c>
    </row>
    <row r="736" spans="1:11" x14ac:dyDescent="0.3">
      <c r="A736" t="s">
        <v>153</v>
      </c>
      <c r="B736" t="s">
        <v>20</v>
      </c>
      <c r="C736" t="s">
        <v>151</v>
      </c>
      <c r="D736" t="s">
        <v>154</v>
      </c>
      <c r="E736">
        <v>2026</v>
      </c>
      <c r="F736" t="s">
        <v>207</v>
      </c>
      <c r="G736" t="s">
        <v>208</v>
      </c>
      <c r="H736">
        <v>20064</v>
      </c>
      <c r="I736" t="s">
        <v>209</v>
      </c>
      <c r="J736" t="s">
        <v>210</v>
      </c>
      <c r="K736" t="s">
        <v>211</v>
      </c>
    </row>
    <row r="737" spans="1:11" x14ac:dyDescent="0.3">
      <c r="A737" t="s">
        <v>155</v>
      </c>
      <c r="B737" t="s">
        <v>20</v>
      </c>
      <c r="C737" t="s">
        <v>151</v>
      </c>
      <c r="D737" t="s">
        <v>156</v>
      </c>
      <c r="E737">
        <v>2026</v>
      </c>
      <c r="F737" t="s">
        <v>207</v>
      </c>
      <c r="G737" t="s">
        <v>208</v>
      </c>
      <c r="H737">
        <v>10506</v>
      </c>
      <c r="I737" t="s">
        <v>209</v>
      </c>
      <c r="J737" t="s">
        <v>210</v>
      </c>
      <c r="K737" t="s">
        <v>211</v>
      </c>
    </row>
    <row r="738" spans="1:11" x14ac:dyDescent="0.3">
      <c r="A738" t="s">
        <v>157</v>
      </c>
      <c r="B738" t="s">
        <v>20</v>
      </c>
      <c r="C738" t="s">
        <v>151</v>
      </c>
      <c r="D738" t="s">
        <v>158</v>
      </c>
      <c r="E738">
        <v>2026</v>
      </c>
      <c r="F738" t="s">
        <v>207</v>
      </c>
      <c r="G738" t="s">
        <v>208</v>
      </c>
      <c r="H738">
        <v>9002</v>
      </c>
      <c r="I738" t="s">
        <v>209</v>
      </c>
      <c r="J738" t="s">
        <v>210</v>
      </c>
      <c r="K738" t="s">
        <v>211</v>
      </c>
    </row>
    <row r="739" spans="1:11" x14ac:dyDescent="0.3">
      <c r="A739" t="s">
        <v>159</v>
      </c>
      <c r="B739" t="s">
        <v>20</v>
      </c>
      <c r="C739" t="s">
        <v>151</v>
      </c>
      <c r="D739" t="s">
        <v>160</v>
      </c>
      <c r="E739">
        <v>2026</v>
      </c>
      <c r="F739" t="s">
        <v>207</v>
      </c>
      <c r="G739" t="s">
        <v>208</v>
      </c>
      <c r="H739">
        <v>9912</v>
      </c>
      <c r="I739" t="s">
        <v>209</v>
      </c>
      <c r="J739" t="s">
        <v>210</v>
      </c>
      <c r="K739" t="s">
        <v>211</v>
      </c>
    </row>
    <row r="740" spans="1:11" x14ac:dyDescent="0.3">
      <c r="A740" t="s">
        <v>161</v>
      </c>
      <c r="B740" t="s">
        <v>20</v>
      </c>
      <c r="C740" t="s">
        <v>151</v>
      </c>
      <c r="D740" t="s">
        <v>162</v>
      </c>
      <c r="E740">
        <v>2026</v>
      </c>
      <c r="F740" t="s">
        <v>207</v>
      </c>
      <c r="G740" t="s">
        <v>208</v>
      </c>
      <c r="H740">
        <v>15538</v>
      </c>
      <c r="I740" t="s">
        <v>209</v>
      </c>
      <c r="J740" t="s">
        <v>210</v>
      </c>
      <c r="K740" t="s">
        <v>211</v>
      </c>
    </row>
    <row r="741" spans="1:11" x14ac:dyDescent="0.3">
      <c r="A741" t="s">
        <v>163</v>
      </c>
      <c r="B741" t="s">
        <v>20</v>
      </c>
      <c r="C741" t="s">
        <v>151</v>
      </c>
      <c r="D741" t="s">
        <v>164</v>
      </c>
      <c r="E741">
        <v>2026</v>
      </c>
      <c r="F741" t="s">
        <v>207</v>
      </c>
      <c r="G741" t="s">
        <v>208</v>
      </c>
      <c r="H741">
        <v>10156</v>
      </c>
      <c r="I741" t="s">
        <v>209</v>
      </c>
      <c r="J741" t="s">
        <v>210</v>
      </c>
      <c r="K741" t="s">
        <v>211</v>
      </c>
    </row>
    <row r="742" spans="1:11" x14ac:dyDescent="0.3">
      <c r="A742" t="s">
        <v>165</v>
      </c>
      <c r="B742" t="s">
        <v>20</v>
      </c>
      <c r="C742" t="s">
        <v>151</v>
      </c>
      <c r="D742" t="s">
        <v>166</v>
      </c>
      <c r="E742">
        <v>2026</v>
      </c>
      <c r="F742" t="s">
        <v>207</v>
      </c>
      <c r="G742" t="s">
        <v>208</v>
      </c>
      <c r="H742">
        <v>14958</v>
      </c>
      <c r="I742" t="s">
        <v>209</v>
      </c>
      <c r="J742" t="s">
        <v>210</v>
      </c>
      <c r="K742" t="s">
        <v>211</v>
      </c>
    </row>
    <row r="743" spans="1:11" x14ac:dyDescent="0.3">
      <c r="A743" t="s">
        <v>167</v>
      </c>
      <c r="B743" t="s">
        <v>20</v>
      </c>
      <c r="C743" t="s">
        <v>168</v>
      </c>
      <c r="D743" t="s">
        <v>169</v>
      </c>
      <c r="E743">
        <v>2026</v>
      </c>
      <c r="F743" t="s">
        <v>207</v>
      </c>
      <c r="G743" t="s">
        <v>208</v>
      </c>
      <c r="H743">
        <v>20689</v>
      </c>
      <c r="I743" t="s">
        <v>209</v>
      </c>
      <c r="J743" t="s">
        <v>210</v>
      </c>
      <c r="K743" t="s">
        <v>211</v>
      </c>
    </row>
    <row r="744" spans="1:11" x14ac:dyDescent="0.3">
      <c r="A744" t="s">
        <v>170</v>
      </c>
      <c r="B744" t="s">
        <v>20</v>
      </c>
      <c r="C744" t="s">
        <v>168</v>
      </c>
      <c r="D744" t="s">
        <v>171</v>
      </c>
      <c r="E744">
        <v>2026</v>
      </c>
      <c r="F744" t="s">
        <v>207</v>
      </c>
      <c r="G744" t="s">
        <v>208</v>
      </c>
      <c r="H744">
        <v>4605</v>
      </c>
      <c r="I744" t="s">
        <v>209</v>
      </c>
      <c r="J744" t="s">
        <v>210</v>
      </c>
      <c r="K744" t="s">
        <v>211</v>
      </c>
    </row>
    <row r="745" spans="1:11" x14ac:dyDescent="0.3">
      <c r="A745" t="s">
        <v>172</v>
      </c>
      <c r="B745" t="s">
        <v>20</v>
      </c>
      <c r="C745" t="s">
        <v>168</v>
      </c>
      <c r="D745" t="s">
        <v>173</v>
      </c>
      <c r="E745">
        <v>2026</v>
      </c>
      <c r="F745" t="s">
        <v>207</v>
      </c>
      <c r="G745" t="s">
        <v>208</v>
      </c>
      <c r="H745">
        <v>5447</v>
      </c>
      <c r="I745" t="s">
        <v>209</v>
      </c>
      <c r="J745" t="s">
        <v>210</v>
      </c>
      <c r="K745" t="s">
        <v>211</v>
      </c>
    </row>
    <row r="746" spans="1:11" x14ac:dyDescent="0.3">
      <c r="A746" t="s">
        <v>174</v>
      </c>
      <c r="B746" t="s">
        <v>20</v>
      </c>
      <c r="C746" t="s">
        <v>168</v>
      </c>
      <c r="D746" t="s">
        <v>175</v>
      </c>
      <c r="E746">
        <v>2026</v>
      </c>
      <c r="F746" t="s">
        <v>207</v>
      </c>
      <c r="G746" t="s">
        <v>208</v>
      </c>
      <c r="H746">
        <v>1805</v>
      </c>
      <c r="I746" t="s">
        <v>209</v>
      </c>
      <c r="J746" t="s">
        <v>210</v>
      </c>
      <c r="K746" t="s">
        <v>211</v>
      </c>
    </row>
    <row r="747" spans="1:11" x14ac:dyDescent="0.3">
      <c r="A747" t="s">
        <v>176</v>
      </c>
      <c r="B747" t="s">
        <v>20</v>
      </c>
      <c r="C747" t="s">
        <v>168</v>
      </c>
      <c r="D747" t="s">
        <v>177</v>
      </c>
      <c r="E747">
        <v>2026</v>
      </c>
      <c r="F747" t="s">
        <v>207</v>
      </c>
      <c r="G747" t="s">
        <v>208</v>
      </c>
      <c r="H747">
        <v>2320</v>
      </c>
      <c r="I747" t="s">
        <v>209</v>
      </c>
      <c r="J747" t="s">
        <v>210</v>
      </c>
      <c r="K747" t="s">
        <v>211</v>
      </c>
    </row>
    <row r="748" spans="1:11" x14ac:dyDescent="0.3">
      <c r="A748" t="s">
        <v>178</v>
      </c>
      <c r="B748" t="s">
        <v>20</v>
      </c>
      <c r="C748" t="s">
        <v>168</v>
      </c>
      <c r="D748" t="s">
        <v>179</v>
      </c>
      <c r="E748">
        <v>2026</v>
      </c>
      <c r="F748" t="s">
        <v>207</v>
      </c>
      <c r="G748" t="s">
        <v>208</v>
      </c>
      <c r="H748">
        <v>13601</v>
      </c>
      <c r="I748" t="s">
        <v>209</v>
      </c>
      <c r="J748" t="s">
        <v>210</v>
      </c>
      <c r="K748" t="s">
        <v>211</v>
      </c>
    </row>
    <row r="749" spans="1:11" x14ac:dyDescent="0.3">
      <c r="A749" t="s">
        <v>180</v>
      </c>
      <c r="B749" t="s">
        <v>20</v>
      </c>
      <c r="C749" t="s">
        <v>168</v>
      </c>
      <c r="D749" t="s">
        <v>181</v>
      </c>
      <c r="E749">
        <v>2026</v>
      </c>
      <c r="F749" t="s">
        <v>207</v>
      </c>
      <c r="G749" t="s">
        <v>208</v>
      </c>
      <c r="H749">
        <v>2980</v>
      </c>
      <c r="I749" t="s">
        <v>209</v>
      </c>
      <c r="J749" t="s">
        <v>210</v>
      </c>
      <c r="K749" t="s">
        <v>211</v>
      </c>
    </row>
    <row r="750" spans="1:11" x14ac:dyDescent="0.3">
      <c r="A750" t="s">
        <v>182</v>
      </c>
      <c r="B750" t="s">
        <v>20</v>
      </c>
      <c r="C750" t="s">
        <v>168</v>
      </c>
      <c r="D750" t="s">
        <v>183</v>
      </c>
      <c r="E750">
        <v>2026</v>
      </c>
      <c r="F750" t="s">
        <v>207</v>
      </c>
      <c r="G750" t="s">
        <v>208</v>
      </c>
      <c r="H750">
        <v>3657</v>
      </c>
      <c r="I750" t="s">
        <v>209</v>
      </c>
      <c r="J750" t="s">
        <v>210</v>
      </c>
      <c r="K750" t="s">
        <v>211</v>
      </c>
    </row>
    <row r="751" spans="1:11" x14ac:dyDescent="0.3">
      <c r="A751" t="s">
        <v>184</v>
      </c>
      <c r="B751" t="s">
        <v>20</v>
      </c>
      <c r="C751" t="s">
        <v>185</v>
      </c>
      <c r="D751" t="s">
        <v>186</v>
      </c>
      <c r="E751">
        <v>2026</v>
      </c>
      <c r="F751" t="s">
        <v>207</v>
      </c>
      <c r="G751" t="s">
        <v>208</v>
      </c>
      <c r="H751">
        <v>14490</v>
      </c>
      <c r="I751" t="s">
        <v>209</v>
      </c>
      <c r="J751" t="s">
        <v>210</v>
      </c>
      <c r="K751" t="s">
        <v>211</v>
      </c>
    </row>
    <row r="752" spans="1:11" x14ac:dyDescent="0.3">
      <c r="A752" t="s">
        <v>187</v>
      </c>
      <c r="B752" t="s">
        <v>20</v>
      </c>
      <c r="C752" t="s">
        <v>185</v>
      </c>
      <c r="D752" t="s">
        <v>188</v>
      </c>
      <c r="E752">
        <v>2026</v>
      </c>
      <c r="F752" t="s">
        <v>207</v>
      </c>
      <c r="G752" t="s">
        <v>208</v>
      </c>
      <c r="H752">
        <v>4601</v>
      </c>
      <c r="I752" t="s">
        <v>209</v>
      </c>
      <c r="J752" t="s">
        <v>210</v>
      </c>
      <c r="K752" t="s">
        <v>211</v>
      </c>
    </row>
    <row r="753" spans="1:11" x14ac:dyDescent="0.3">
      <c r="A753" t="s">
        <v>189</v>
      </c>
      <c r="B753" t="s">
        <v>20</v>
      </c>
      <c r="C753" t="s">
        <v>185</v>
      </c>
      <c r="D753" t="s">
        <v>190</v>
      </c>
      <c r="E753">
        <v>2026</v>
      </c>
      <c r="F753" t="s">
        <v>207</v>
      </c>
      <c r="G753" t="s">
        <v>208</v>
      </c>
      <c r="H753">
        <v>2631</v>
      </c>
      <c r="I753" t="s">
        <v>209</v>
      </c>
      <c r="J753" t="s">
        <v>210</v>
      </c>
      <c r="K753" t="s">
        <v>211</v>
      </c>
    </row>
    <row r="754" spans="1:11" x14ac:dyDescent="0.3">
      <c r="A754" t="s">
        <v>191</v>
      </c>
      <c r="B754" t="s">
        <v>20</v>
      </c>
      <c r="C754" t="s">
        <v>185</v>
      </c>
      <c r="D754" t="s">
        <v>192</v>
      </c>
      <c r="E754">
        <v>2026</v>
      </c>
      <c r="F754" t="s">
        <v>207</v>
      </c>
      <c r="G754" t="s">
        <v>208</v>
      </c>
      <c r="H754">
        <v>6080</v>
      </c>
      <c r="I754" t="s">
        <v>209</v>
      </c>
      <c r="J754" t="s">
        <v>210</v>
      </c>
      <c r="K754" t="s">
        <v>211</v>
      </c>
    </row>
    <row r="755" spans="1:11" x14ac:dyDescent="0.3">
      <c r="A755" t="s">
        <v>193</v>
      </c>
      <c r="B755" t="s">
        <v>20</v>
      </c>
      <c r="C755" t="s">
        <v>194</v>
      </c>
      <c r="D755" t="s">
        <v>195</v>
      </c>
      <c r="E755">
        <v>2026</v>
      </c>
      <c r="F755" t="s">
        <v>207</v>
      </c>
      <c r="G755" t="s">
        <v>208</v>
      </c>
      <c r="H755">
        <v>62551</v>
      </c>
      <c r="I755" t="s">
        <v>209</v>
      </c>
      <c r="J755" t="s">
        <v>210</v>
      </c>
      <c r="K755" t="s">
        <v>211</v>
      </c>
    </row>
    <row r="756" spans="1:11" x14ac:dyDescent="0.3">
      <c r="A756" t="s">
        <v>196</v>
      </c>
      <c r="B756" t="s">
        <v>20</v>
      </c>
      <c r="C756" t="s">
        <v>194</v>
      </c>
      <c r="D756" t="s">
        <v>197</v>
      </c>
      <c r="E756">
        <v>2026</v>
      </c>
      <c r="F756" t="s">
        <v>207</v>
      </c>
      <c r="G756" t="s">
        <v>208</v>
      </c>
      <c r="H756">
        <v>45930</v>
      </c>
      <c r="I756" t="s">
        <v>209</v>
      </c>
      <c r="J756" t="s">
        <v>210</v>
      </c>
      <c r="K756" t="s">
        <v>211</v>
      </c>
    </row>
    <row r="757" spans="1:11" x14ac:dyDescent="0.3">
      <c r="A757" t="s">
        <v>198</v>
      </c>
      <c r="B757" t="s">
        <v>20</v>
      </c>
      <c r="C757" t="s">
        <v>194</v>
      </c>
      <c r="D757" t="s">
        <v>199</v>
      </c>
      <c r="E757">
        <v>2026</v>
      </c>
      <c r="F757" t="s">
        <v>207</v>
      </c>
      <c r="G757" t="s">
        <v>208</v>
      </c>
      <c r="H757">
        <v>8229</v>
      </c>
      <c r="I757" t="s">
        <v>209</v>
      </c>
      <c r="J757" t="s">
        <v>210</v>
      </c>
      <c r="K757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21"/>
  <sheetViews>
    <sheetView workbookViewId="0">
      <selection activeCell="E9" sqref="E9"/>
    </sheetView>
  </sheetViews>
  <sheetFormatPr baseColWidth="10" defaultColWidth="8.88671875" defaultRowHeight="14.4" x14ac:dyDescent="0.3"/>
  <cols>
    <col min="1" max="1" width="11" customWidth="1"/>
    <col min="2" max="2" width="15" customWidth="1"/>
    <col min="3" max="3" width="22" customWidth="1"/>
    <col min="4" max="4" width="26" customWidth="1"/>
    <col min="5" max="5" width="20" customWidth="1"/>
    <col min="6" max="6" width="49" customWidth="1"/>
    <col min="7" max="7" width="9" customWidth="1"/>
    <col min="8" max="8" width="14" customWidth="1"/>
    <col min="9" max="9" width="12" customWidth="1"/>
    <col min="10" max="10" width="46" customWidth="1"/>
    <col min="11" max="11" width="78" customWidth="1"/>
    <col min="12" max="12" width="55" customWidth="1"/>
  </cols>
  <sheetData>
    <row r="1" spans="1:1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201</v>
      </c>
      <c r="F1" s="8" t="s">
        <v>202</v>
      </c>
      <c r="G1" s="8" t="s">
        <v>200</v>
      </c>
      <c r="H1" s="8" t="s">
        <v>203</v>
      </c>
      <c r="I1" s="8" t="s">
        <v>204</v>
      </c>
      <c r="J1" s="8" t="s">
        <v>205</v>
      </c>
      <c r="K1" s="8" t="s">
        <v>206</v>
      </c>
      <c r="L1" s="8" t="s">
        <v>292</v>
      </c>
    </row>
    <row r="2" spans="1:12" ht="28.8" x14ac:dyDescent="0.3">
      <c r="A2" s="3" t="s">
        <v>19</v>
      </c>
      <c r="B2" s="4" t="s">
        <v>20</v>
      </c>
      <c r="C2" s="4" t="s">
        <v>21</v>
      </c>
      <c r="D2" s="4" t="s">
        <v>21</v>
      </c>
      <c r="E2" s="4" t="s">
        <v>207</v>
      </c>
      <c r="F2" s="4" t="s">
        <v>293</v>
      </c>
      <c r="G2" s="7">
        <v>2026</v>
      </c>
      <c r="H2" s="6">
        <v>362958</v>
      </c>
      <c r="I2" s="4" t="s">
        <v>294</v>
      </c>
      <c r="J2" s="4" t="s">
        <v>215</v>
      </c>
      <c r="K2" s="4" t="s">
        <v>211</v>
      </c>
      <c r="L2" s="4" t="s">
        <v>295</v>
      </c>
    </row>
    <row r="3" spans="1:12" ht="28.8" x14ac:dyDescent="0.3">
      <c r="A3" s="3" t="s">
        <v>19</v>
      </c>
      <c r="B3" s="4" t="s">
        <v>20</v>
      </c>
      <c r="C3" s="4" t="s">
        <v>21</v>
      </c>
      <c r="D3" s="4" t="s">
        <v>21</v>
      </c>
      <c r="E3" s="4" t="s">
        <v>296</v>
      </c>
      <c r="F3" s="4" t="s">
        <v>297</v>
      </c>
      <c r="G3" s="7">
        <v>2017</v>
      </c>
      <c r="H3" s="6">
        <v>98.1</v>
      </c>
      <c r="I3" s="4" t="s">
        <v>298</v>
      </c>
      <c r="J3" s="4" t="s">
        <v>299</v>
      </c>
      <c r="K3" s="4" t="s">
        <v>300</v>
      </c>
      <c r="L3" s="4" t="s">
        <v>301</v>
      </c>
    </row>
    <row r="4" spans="1:12" ht="28.8" x14ac:dyDescent="0.3">
      <c r="A4" s="3" t="s">
        <v>19</v>
      </c>
      <c r="B4" s="4" t="s">
        <v>20</v>
      </c>
      <c r="C4" s="4" t="s">
        <v>21</v>
      </c>
      <c r="D4" s="4" t="s">
        <v>21</v>
      </c>
      <c r="E4" s="4" t="s">
        <v>296</v>
      </c>
      <c r="F4" s="4" t="s">
        <v>302</v>
      </c>
      <c r="G4" s="7">
        <v>2017</v>
      </c>
      <c r="H4" s="6">
        <v>98.7</v>
      </c>
      <c r="I4" s="4" t="s">
        <v>298</v>
      </c>
      <c r="J4" s="4" t="s">
        <v>303</v>
      </c>
      <c r="K4" s="4" t="s">
        <v>300</v>
      </c>
      <c r="L4" s="4" t="s">
        <v>301</v>
      </c>
    </row>
    <row r="5" spans="1:12" ht="28.8" x14ac:dyDescent="0.3">
      <c r="A5" s="3" t="s">
        <v>19</v>
      </c>
      <c r="B5" s="4" t="s">
        <v>20</v>
      </c>
      <c r="C5" s="4" t="s">
        <v>21</v>
      </c>
      <c r="D5" s="4" t="s">
        <v>21</v>
      </c>
      <c r="E5" s="4" t="s">
        <v>304</v>
      </c>
      <c r="F5" s="4" t="s">
        <v>305</v>
      </c>
      <c r="G5" s="7">
        <v>2017</v>
      </c>
      <c r="H5" s="6">
        <v>61.3</v>
      </c>
      <c r="I5" s="4" t="s">
        <v>298</v>
      </c>
      <c r="J5" s="4" t="s">
        <v>306</v>
      </c>
      <c r="K5" s="4" t="s">
        <v>300</v>
      </c>
      <c r="L5" s="4" t="s">
        <v>307</v>
      </c>
    </row>
    <row r="6" spans="1:12" ht="28.8" x14ac:dyDescent="0.3">
      <c r="A6" s="3" t="s">
        <v>19</v>
      </c>
      <c r="B6" s="4" t="s">
        <v>20</v>
      </c>
      <c r="C6" s="4" t="s">
        <v>21</v>
      </c>
      <c r="D6" s="4" t="s">
        <v>21</v>
      </c>
      <c r="E6" s="4" t="s">
        <v>308</v>
      </c>
      <c r="F6" s="4" t="s">
        <v>309</v>
      </c>
      <c r="G6" s="7">
        <v>2017</v>
      </c>
      <c r="H6" s="6">
        <v>1.5</v>
      </c>
      <c r="I6" s="4" t="s">
        <v>298</v>
      </c>
      <c r="J6" s="4" t="s">
        <v>216</v>
      </c>
      <c r="K6" s="4" t="s">
        <v>310</v>
      </c>
      <c r="L6" s="4" t="s">
        <v>311</v>
      </c>
    </row>
    <row r="7" spans="1:12" ht="28.8" x14ac:dyDescent="0.3">
      <c r="A7" s="3" t="s">
        <v>23</v>
      </c>
      <c r="B7" s="4" t="s">
        <v>20</v>
      </c>
      <c r="C7" s="4" t="s">
        <v>21</v>
      </c>
      <c r="D7" s="4" t="s">
        <v>217</v>
      </c>
      <c r="E7" s="4" t="s">
        <v>207</v>
      </c>
      <c r="F7" s="4" t="s">
        <v>293</v>
      </c>
      <c r="G7" s="7">
        <v>2026</v>
      </c>
      <c r="H7" s="6">
        <v>136781</v>
      </c>
      <c r="I7" s="4" t="s">
        <v>294</v>
      </c>
      <c r="J7" s="4" t="s">
        <v>215</v>
      </c>
      <c r="K7" s="4" t="s">
        <v>211</v>
      </c>
      <c r="L7" s="4" t="s">
        <v>295</v>
      </c>
    </row>
    <row r="8" spans="1:12" ht="28.8" x14ac:dyDescent="0.3">
      <c r="A8" s="3" t="s">
        <v>23</v>
      </c>
      <c r="B8" s="4" t="s">
        <v>20</v>
      </c>
      <c r="C8" s="4" t="s">
        <v>21</v>
      </c>
      <c r="D8" s="4" t="s">
        <v>217</v>
      </c>
      <c r="E8" s="4" t="s">
        <v>296</v>
      </c>
      <c r="F8" s="4" t="s">
        <v>297</v>
      </c>
      <c r="G8" s="7">
        <v>2017</v>
      </c>
      <c r="H8" s="6">
        <v>75.3</v>
      </c>
      <c r="I8" s="4" t="s">
        <v>298</v>
      </c>
      <c r="J8" s="4" t="s">
        <v>299</v>
      </c>
      <c r="K8" s="4" t="s">
        <v>300</v>
      </c>
      <c r="L8" s="4" t="s">
        <v>301</v>
      </c>
    </row>
    <row r="9" spans="1:12" ht="28.8" x14ac:dyDescent="0.3">
      <c r="A9" s="3" t="s">
        <v>23</v>
      </c>
      <c r="B9" s="4" t="s">
        <v>20</v>
      </c>
      <c r="C9" s="4" t="s">
        <v>21</v>
      </c>
      <c r="D9" s="4" t="s">
        <v>217</v>
      </c>
      <c r="E9" s="4" t="s">
        <v>296</v>
      </c>
      <c r="F9" s="4" t="s">
        <v>302</v>
      </c>
      <c r="G9" s="7">
        <v>2017</v>
      </c>
      <c r="H9" s="6">
        <v>72.099999999999994</v>
      </c>
      <c r="I9" s="4" t="s">
        <v>298</v>
      </c>
      <c r="J9" s="4" t="s">
        <v>303</v>
      </c>
      <c r="K9" s="4" t="s">
        <v>300</v>
      </c>
      <c r="L9" s="4" t="s">
        <v>301</v>
      </c>
    </row>
    <row r="10" spans="1:12" ht="28.8" x14ac:dyDescent="0.3">
      <c r="A10" s="3" t="s">
        <v>23</v>
      </c>
      <c r="B10" s="4" t="s">
        <v>20</v>
      </c>
      <c r="C10" s="4" t="s">
        <v>21</v>
      </c>
      <c r="D10" s="4" t="s">
        <v>217</v>
      </c>
      <c r="E10" s="4" t="s">
        <v>304</v>
      </c>
      <c r="F10" s="4" t="s">
        <v>305</v>
      </c>
      <c r="G10" s="7">
        <v>2017</v>
      </c>
      <c r="H10" s="6">
        <v>19.5</v>
      </c>
      <c r="I10" s="4" t="s">
        <v>298</v>
      </c>
      <c r="J10" s="4" t="s">
        <v>306</v>
      </c>
      <c r="K10" s="4" t="s">
        <v>300</v>
      </c>
      <c r="L10" s="4" t="s">
        <v>307</v>
      </c>
    </row>
    <row r="11" spans="1:12" ht="28.8" x14ac:dyDescent="0.3">
      <c r="A11" s="3" t="s">
        <v>23</v>
      </c>
      <c r="B11" s="4" t="s">
        <v>20</v>
      </c>
      <c r="C11" s="4" t="s">
        <v>21</v>
      </c>
      <c r="D11" s="4" t="s">
        <v>217</v>
      </c>
      <c r="E11" s="4" t="s">
        <v>308</v>
      </c>
      <c r="F11" s="4" t="s">
        <v>309</v>
      </c>
      <c r="G11" s="7">
        <v>2017</v>
      </c>
      <c r="H11" s="6">
        <v>5</v>
      </c>
      <c r="I11" s="4" t="s">
        <v>298</v>
      </c>
      <c r="J11" s="4" t="s">
        <v>216</v>
      </c>
      <c r="K11" s="4" t="s">
        <v>310</v>
      </c>
      <c r="L11" s="4" t="s">
        <v>311</v>
      </c>
    </row>
    <row r="12" spans="1:12" ht="28.8" x14ac:dyDescent="0.3">
      <c r="A12" s="3" t="s">
        <v>25</v>
      </c>
      <c r="B12" s="4" t="s">
        <v>20</v>
      </c>
      <c r="C12" s="4" t="s">
        <v>21</v>
      </c>
      <c r="D12" s="4" t="s">
        <v>218</v>
      </c>
      <c r="E12" s="4" t="s">
        <v>207</v>
      </c>
      <c r="F12" s="4" t="s">
        <v>293</v>
      </c>
      <c r="G12" s="7">
        <v>2026</v>
      </c>
      <c r="H12" s="6">
        <v>66537</v>
      </c>
      <c r="I12" s="4" t="s">
        <v>294</v>
      </c>
      <c r="J12" s="4" t="s">
        <v>215</v>
      </c>
      <c r="K12" s="4" t="s">
        <v>211</v>
      </c>
      <c r="L12" s="4" t="s">
        <v>295</v>
      </c>
    </row>
    <row r="13" spans="1:12" ht="28.8" x14ac:dyDescent="0.3">
      <c r="A13" s="3" t="s">
        <v>25</v>
      </c>
      <c r="B13" s="4" t="s">
        <v>20</v>
      </c>
      <c r="C13" s="4" t="s">
        <v>21</v>
      </c>
      <c r="D13" s="4" t="s">
        <v>218</v>
      </c>
      <c r="E13" s="4" t="s">
        <v>296</v>
      </c>
      <c r="F13" s="4" t="s">
        <v>297</v>
      </c>
      <c r="G13" s="7">
        <v>2017</v>
      </c>
      <c r="H13" s="6">
        <v>98.5</v>
      </c>
      <c r="I13" s="4" t="s">
        <v>298</v>
      </c>
      <c r="J13" s="4" t="s">
        <v>299</v>
      </c>
      <c r="K13" s="4" t="s">
        <v>300</v>
      </c>
      <c r="L13" s="4" t="s">
        <v>301</v>
      </c>
    </row>
    <row r="14" spans="1:12" ht="28.8" x14ac:dyDescent="0.3">
      <c r="A14" s="3" t="s">
        <v>25</v>
      </c>
      <c r="B14" s="4" t="s">
        <v>20</v>
      </c>
      <c r="C14" s="4" t="s">
        <v>21</v>
      </c>
      <c r="D14" s="4" t="s">
        <v>218</v>
      </c>
      <c r="E14" s="4" t="s">
        <v>296</v>
      </c>
      <c r="F14" s="4" t="s">
        <v>302</v>
      </c>
      <c r="G14" s="7">
        <v>2017</v>
      </c>
      <c r="H14" s="6">
        <v>99.4</v>
      </c>
      <c r="I14" s="4" t="s">
        <v>298</v>
      </c>
      <c r="J14" s="4" t="s">
        <v>303</v>
      </c>
      <c r="K14" s="4" t="s">
        <v>300</v>
      </c>
      <c r="L14" s="4" t="s">
        <v>301</v>
      </c>
    </row>
    <row r="15" spans="1:12" ht="28.8" x14ac:dyDescent="0.3">
      <c r="A15" s="3" t="s">
        <v>25</v>
      </c>
      <c r="B15" s="4" t="s">
        <v>20</v>
      </c>
      <c r="C15" s="4" t="s">
        <v>21</v>
      </c>
      <c r="D15" s="4" t="s">
        <v>218</v>
      </c>
      <c r="E15" s="4" t="s">
        <v>304</v>
      </c>
      <c r="F15" s="4" t="s">
        <v>305</v>
      </c>
      <c r="G15" s="7">
        <v>2017</v>
      </c>
      <c r="H15" s="6">
        <v>34.700000000000003</v>
      </c>
      <c r="I15" s="4" t="s">
        <v>298</v>
      </c>
      <c r="J15" s="4" t="s">
        <v>306</v>
      </c>
      <c r="K15" s="4" t="s">
        <v>300</v>
      </c>
      <c r="L15" s="4" t="s">
        <v>307</v>
      </c>
    </row>
    <row r="16" spans="1:12" ht="28.8" x14ac:dyDescent="0.3">
      <c r="A16" s="3" t="s">
        <v>25</v>
      </c>
      <c r="B16" s="4" t="s">
        <v>20</v>
      </c>
      <c r="C16" s="4" t="s">
        <v>21</v>
      </c>
      <c r="D16" s="4" t="s">
        <v>218</v>
      </c>
      <c r="E16" s="4" t="s">
        <v>308</v>
      </c>
      <c r="F16" s="4" t="s">
        <v>309</v>
      </c>
      <c r="G16" s="7">
        <v>2017</v>
      </c>
      <c r="H16" s="6">
        <v>4.5</v>
      </c>
      <c r="I16" s="4" t="s">
        <v>298</v>
      </c>
      <c r="J16" s="4" t="s">
        <v>216</v>
      </c>
      <c r="K16" s="4" t="s">
        <v>310</v>
      </c>
      <c r="L16" s="4" t="s">
        <v>311</v>
      </c>
    </row>
    <row r="17" spans="1:12" ht="28.8" x14ac:dyDescent="0.3">
      <c r="A17" s="3" t="s">
        <v>27</v>
      </c>
      <c r="B17" s="4" t="s">
        <v>20</v>
      </c>
      <c r="C17" s="4" t="s">
        <v>21</v>
      </c>
      <c r="D17" s="4" t="s">
        <v>219</v>
      </c>
      <c r="E17" s="4" t="s">
        <v>207</v>
      </c>
      <c r="F17" s="4" t="s">
        <v>293</v>
      </c>
      <c r="G17" s="7">
        <v>2026</v>
      </c>
      <c r="H17" s="6">
        <v>106117</v>
      </c>
      <c r="I17" s="4" t="s">
        <v>294</v>
      </c>
      <c r="J17" s="4" t="s">
        <v>215</v>
      </c>
      <c r="K17" s="4" t="s">
        <v>211</v>
      </c>
      <c r="L17" s="4" t="s">
        <v>295</v>
      </c>
    </row>
    <row r="18" spans="1:12" ht="28.8" x14ac:dyDescent="0.3">
      <c r="A18" s="3" t="s">
        <v>27</v>
      </c>
      <c r="B18" s="4" t="s">
        <v>20</v>
      </c>
      <c r="C18" s="4" t="s">
        <v>21</v>
      </c>
      <c r="D18" s="4" t="s">
        <v>219</v>
      </c>
      <c r="E18" s="4" t="s">
        <v>296</v>
      </c>
      <c r="F18" s="4" t="s">
        <v>297</v>
      </c>
      <c r="G18" s="7">
        <v>2017</v>
      </c>
      <c r="H18" s="6">
        <v>76.400000000000006</v>
      </c>
      <c r="I18" s="4" t="s">
        <v>298</v>
      </c>
      <c r="J18" s="4" t="s">
        <v>299</v>
      </c>
      <c r="K18" s="4" t="s">
        <v>300</v>
      </c>
      <c r="L18" s="4" t="s">
        <v>301</v>
      </c>
    </row>
    <row r="19" spans="1:12" ht="28.8" x14ac:dyDescent="0.3">
      <c r="A19" s="3" t="s">
        <v>27</v>
      </c>
      <c r="B19" s="4" t="s">
        <v>20</v>
      </c>
      <c r="C19" s="4" t="s">
        <v>21</v>
      </c>
      <c r="D19" s="4" t="s">
        <v>219</v>
      </c>
      <c r="E19" s="4" t="s">
        <v>296</v>
      </c>
      <c r="F19" s="4" t="s">
        <v>302</v>
      </c>
      <c r="G19" s="7">
        <v>2017</v>
      </c>
      <c r="H19" s="6">
        <v>73.5</v>
      </c>
      <c r="I19" s="4" t="s">
        <v>298</v>
      </c>
      <c r="J19" s="4" t="s">
        <v>303</v>
      </c>
      <c r="K19" s="4" t="s">
        <v>300</v>
      </c>
      <c r="L19" s="4" t="s">
        <v>301</v>
      </c>
    </row>
    <row r="20" spans="1:12" ht="28.8" x14ac:dyDescent="0.3">
      <c r="A20" s="3" t="s">
        <v>27</v>
      </c>
      <c r="B20" s="4" t="s">
        <v>20</v>
      </c>
      <c r="C20" s="4" t="s">
        <v>21</v>
      </c>
      <c r="D20" s="4" t="s">
        <v>219</v>
      </c>
      <c r="E20" s="4" t="s">
        <v>304</v>
      </c>
      <c r="F20" s="4" t="s">
        <v>305</v>
      </c>
      <c r="G20" s="7">
        <v>2017</v>
      </c>
      <c r="H20" s="6">
        <v>33.5</v>
      </c>
      <c r="I20" s="4" t="s">
        <v>298</v>
      </c>
      <c r="J20" s="4" t="s">
        <v>306</v>
      </c>
      <c r="K20" s="4" t="s">
        <v>300</v>
      </c>
      <c r="L20" s="4" t="s">
        <v>307</v>
      </c>
    </row>
    <row r="21" spans="1:12" ht="28.8" x14ac:dyDescent="0.3">
      <c r="A21" s="3" t="s">
        <v>27</v>
      </c>
      <c r="B21" s="4" t="s">
        <v>20</v>
      </c>
      <c r="C21" s="4" t="s">
        <v>21</v>
      </c>
      <c r="D21" s="4" t="s">
        <v>219</v>
      </c>
      <c r="E21" s="4" t="s">
        <v>308</v>
      </c>
      <c r="F21" s="4" t="s">
        <v>309</v>
      </c>
      <c r="G21" s="7">
        <v>2017</v>
      </c>
      <c r="H21" s="6">
        <v>3.9</v>
      </c>
      <c r="I21" s="4" t="s">
        <v>298</v>
      </c>
      <c r="J21" s="4" t="s">
        <v>216</v>
      </c>
      <c r="K21" s="4" t="s">
        <v>310</v>
      </c>
      <c r="L21" s="4" t="s">
        <v>311</v>
      </c>
    </row>
    <row r="22" spans="1:12" ht="28.8" x14ac:dyDescent="0.3">
      <c r="A22" s="3" t="s">
        <v>29</v>
      </c>
      <c r="B22" s="4" t="s">
        <v>20</v>
      </c>
      <c r="C22" s="4" t="s">
        <v>21</v>
      </c>
      <c r="D22" s="4" t="s">
        <v>220</v>
      </c>
      <c r="E22" s="4" t="s">
        <v>207</v>
      </c>
      <c r="F22" s="4" t="s">
        <v>293</v>
      </c>
      <c r="G22" s="7">
        <v>2026</v>
      </c>
      <c r="H22" s="6">
        <v>253998</v>
      </c>
      <c r="I22" s="4" t="s">
        <v>294</v>
      </c>
      <c r="J22" s="4" t="s">
        <v>215</v>
      </c>
      <c r="K22" s="4" t="s">
        <v>211</v>
      </c>
      <c r="L22" s="4" t="s">
        <v>295</v>
      </c>
    </row>
    <row r="23" spans="1:12" ht="28.8" x14ac:dyDescent="0.3">
      <c r="A23" s="3" t="s">
        <v>29</v>
      </c>
      <c r="B23" s="4" t="s">
        <v>20</v>
      </c>
      <c r="C23" s="4" t="s">
        <v>21</v>
      </c>
      <c r="D23" s="4" t="s">
        <v>220</v>
      </c>
      <c r="E23" s="4" t="s">
        <v>296</v>
      </c>
      <c r="F23" s="4" t="s">
        <v>297</v>
      </c>
      <c r="G23" s="7">
        <v>2017</v>
      </c>
      <c r="H23" s="6">
        <v>83.9</v>
      </c>
      <c r="I23" s="4" t="s">
        <v>298</v>
      </c>
      <c r="J23" s="4" t="s">
        <v>299</v>
      </c>
      <c r="K23" s="4" t="s">
        <v>300</v>
      </c>
      <c r="L23" s="4" t="s">
        <v>301</v>
      </c>
    </row>
    <row r="24" spans="1:12" ht="28.8" x14ac:dyDescent="0.3">
      <c r="A24" s="3" t="s">
        <v>29</v>
      </c>
      <c r="B24" s="4" t="s">
        <v>20</v>
      </c>
      <c r="C24" s="4" t="s">
        <v>21</v>
      </c>
      <c r="D24" s="4" t="s">
        <v>220</v>
      </c>
      <c r="E24" s="4" t="s">
        <v>296</v>
      </c>
      <c r="F24" s="4" t="s">
        <v>302</v>
      </c>
      <c r="G24" s="7">
        <v>2017</v>
      </c>
      <c r="H24" s="6">
        <v>75.3</v>
      </c>
      <c r="I24" s="4" t="s">
        <v>298</v>
      </c>
      <c r="J24" s="4" t="s">
        <v>303</v>
      </c>
      <c r="K24" s="4" t="s">
        <v>300</v>
      </c>
      <c r="L24" s="4" t="s">
        <v>301</v>
      </c>
    </row>
    <row r="25" spans="1:12" ht="28.8" x14ac:dyDescent="0.3">
      <c r="A25" s="3" t="s">
        <v>29</v>
      </c>
      <c r="B25" s="4" t="s">
        <v>20</v>
      </c>
      <c r="C25" s="4" t="s">
        <v>21</v>
      </c>
      <c r="D25" s="4" t="s">
        <v>220</v>
      </c>
      <c r="E25" s="4" t="s">
        <v>304</v>
      </c>
      <c r="F25" s="4" t="s">
        <v>305</v>
      </c>
      <c r="G25" s="7">
        <v>2017</v>
      </c>
      <c r="H25" s="6">
        <v>33.700000000000003</v>
      </c>
      <c r="I25" s="4" t="s">
        <v>298</v>
      </c>
      <c r="J25" s="4" t="s">
        <v>306</v>
      </c>
      <c r="K25" s="4" t="s">
        <v>300</v>
      </c>
      <c r="L25" s="4" t="s">
        <v>307</v>
      </c>
    </row>
    <row r="26" spans="1:12" ht="28.8" x14ac:dyDescent="0.3">
      <c r="A26" s="3" t="s">
        <v>29</v>
      </c>
      <c r="B26" s="4" t="s">
        <v>20</v>
      </c>
      <c r="C26" s="4" t="s">
        <v>21</v>
      </c>
      <c r="D26" s="4" t="s">
        <v>220</v>
      </c>
      <c r="E26" s="4" t="s">
        <v>308</v>
      </c>
      <c r="F26" s="4" t="s">
        <v>309</v>
      </c>
      <c r="G26" s="7">
        <v>2017</v>
      </c>
      <c r="H26" s="6">
        <v>3.5</v>
      </c>
      <c r="I26" s="4" t="s">
        <v>298</v>
      </c>
      <c r="J26" s="4" t="s">
        <v>216</v>
      </c>
      <c r="K26" s="4" t="s">
        <v>310</v>
      </c>
      <c r="L26" s="4" t="s">
        <v>311</v>
      </c>
    </row>
    <row r="27" spans="1:12" ht="28.8" x14ac:dyDescent="0.3">
      <c r="A27" s="3" t="s">
        <v>31</v>
      </c>
      <c r="B27" s="4" t="s">
        <v>20</v>
      </c>
      <c r="C27" s="4" t="s">
        <v>21</v>
      </c>
      <c r="D27" s="4" t="s">
        <v>221</v>
      </c>
      <c r="E27" s="4" t="s">
        <v>207</v>
      </c>
      <c r="F27" s="4" t="s">
        <v>293</v>
      </c>
      <c r="G27" s="7">
        <v>2026</v>
      </c>
      <c r="H27" s="6">
        <v>57784</v>
      </c>
      <c r="I27" s="4" t="s">
        <v>294</v>
      </c>
      <c r="J27" s="4" t="s">
        <v>215</v>
      </c>
      <c r="K27" s="4" t="s">
        <v>211</v>
      </c>
      <c r="L27" s="4" t="s">
        <v>295</v>
      </c>
    </row>
    <row r="28" spans="1:12" ht="28.8" x14ac:dyDescent="0.3">
      <c r="A28" s="3" t="s">
        <v>31</v>
      </c>
      <c r="B28" s="4" t="s">
        <v>20</v>
      </c>
      <c r="C28" s="4" t="s">
        <v>21</v>
      </c>
      <c r="D28" s="4" t="s">
        <v>221</v>
      </c>
      <c r="E28" s="4" t="s">
        <v>296</v>
      </c>
      <c r="F28" s="4" t="s">
        <v>297</v>
      </c>
      <c r="G28" s="7">
        <v>2017</v>
      </c>
      <c r="H28" s="6">
        <v>93.8</v>
      </c>
      <c r="I28" s="4" t="s">
        <v>298</v>
      </c>
      <c r="J28" s="4" t="s">
        <v>299</v>
      </c>
      <c r="K28" s="4" t="s">
        <v>300</v>
      </c>
      <c r="L28" s="4" t="s">
        <v>301</v>
      </c>
    </row>
    <row r="29" spans="1:12" ht="28.8" x14ac:dyDescent="0.3">
      <c r="A29" s="3" t="s">
        <v>31</v>
      </c>
      <c r="B29" s="4" t="s">
        <v>20</v>
      </c>
      <c r="C29" s="4" t="s">
        <v>21</v>
      </c>
      <c r="D29" s="4" t="s">
        <v>221</v>
      </c>
      <c r="E29" s="4" t="s">
        <v>296</v>
      </c>
      <c r="F29" s="4" t="s">
        <v>302</v>
      </c>
      <c r="G29" s="7">
        <v>2017</v>
      </c>
      <c r="H29" s="6">
        <v>74.8</v>
      </c>
      <c r="I29" s="4" t="s">
        <v>298</v>
      </c>
      <c r="J29" s="4" t="s">
        <v>303</v>
      </c>
      <c r="K29" s="4" t="s">
        <v>300</v>
      </c>
      <c r="L29" s="4" t="s">
        <v>301</v>
      </c>
    </row>
    <row r="30" spans="1:12" ht="28.8" x14ac:dyDescent="0.3">
      <c r="A30" s="3" t="s">
        <v>31</v>
      </c>
      <c r="B30" s="4" t="s">
        <v>20</v>
      </c>
      <c r="C30" s="4" t="s">
        <v>21</v>
      </c>
      <c r="D30" s="4" t="s">
        <v>221</v>
      </c>
      <c r="E30" s="4" t="s">
        <v>304</v>
      </c>
      <c r="F30" s="4" t="s">
        <v>305</v>
      </c>
      <c r="G30" s="7">
        <v>2017</v>
      </c>
      <c r="H30" s="6">
        <v>26.8</v>
      </c>
      <c r="I30" s="4" t="s">
        <v>298</v>
      </c>
      <c r="J30" s="4" t="s">
        <v>306</v>
      </c>
      <c r="K30" s="4" t="s">
        <v>300</v>
      </c>
      <c r="L30" s="4" t="s">
        <v>307</v>
      </c>
    </row>
    <row r="31" spans="1:12" ht="28.8" x14ac:dyDescent="0.3">
      <c r="A31" s="3" t="s">
        <v>31</v>
      </c>
      <c r="B31" s="4" t="s">
        <v>20</v>
      </c>
      <c r="C31" s="4" t="s">
        <v>21</v>
      </c>
      <c r="D31" s="4" t="s">
        <v>221</v>
      </c>
      <c r="E31" s="4" t="s">
        <v>308</v>
      </c>
      <c r="F31" s="4" t="s">
        <v>309</v>
      </c>
      <c r="G31" s="7">
        <v>2017</v>
      </c>
      <c r="H31" s="6">
        <v>5.0999999999999996</v>
      </c>
      <c r="I31" s="4" t="s">
        <v>298</v>
      </c>
      <c r="J31" s="4" t="s">
        <v>216</v>
      </c>
      <c r="K31" s="4" t="s">
        <v>310</v>
      </c>
      <c r="L31" s="4" t="s">
        <v>311</v>
      </c>
    </row>
    <row r="32" spans="1:12" ht="28.8" x14ac:dyDescent="0.3">
      <c r="A32" s="3" t="s">
        <v>33</v>
      </c>
      <c r="B32" s="4" t="s">
        <v>20</v>
      </c>
      <c r="C32" s="4" t="s">
        <v>21</v>
      </c>
      <c r="D32" s="4" t="s">
        <v>222</v>
      </c>
      <c r="E32" s="4" t="s">
        <v>207</v>
      </c>
      <c r="F32" s="4" t="s">
        <v>293</v>
      </c>
      <c r="G32" s="7">
        <v>2026</v>
      </c>
      <c r="H32" s="6">
        <v>48097</v>
      </c>
      <c r="I32" s="4" t="s">
        <v>294</v>
      </c>
      <c r="J32" s="4" t="s">
        <v>215</v>
      </c>
      <c r="K32" s="4" t="s">
        <v>211</v>
      </c>
      <c r="L32" s="4" t="s">
        <v>295</v>
      </c>
    </row>
    <row r="33" spans="1:12" ht="28.8" x14ac:dyDescent="0.3">
      <c r="A33" s="3" t="s">
        <v>33</v>
      </c>
      <c r="B33" s="4" t="s">
        <v>20</v>
      </c>
      <c r="C33" s="4" t="s">
        <v>21</v>
      </c>
      <c r="D33" s="4" t="s">
        <v>222</v>
      </c>
      <c r="E33" s="4" t="s">
        <v>296</v>
      </c>
      <c r="F33" s="4" t="s">
        <v>297</v>
      </c>
      <c r="G33" s="7">
        <v>2017</v>
      </c>
      <c r="H33" s="6">
        <v>90.2</v>
      </c>
      <c r="I33" s="4" t="s">
        <v>298</v>
      </c>
      <c r="J33" s="4" t="s">
        <v>299</v>
      </c>
      <c r="K33" s="4" t="s">
        <v>300</v>
      </c>
      <c r="L33" s="4" t="s">
        <v>301</v>
      </c>
    </row>
    <row r="34" spans="1:12" ht="28.8" x14ac:dyDescent="0.3">
      <c r="A34" s="3" t="s">
        <v>33</v>
      </c>
      <c r="B34" s="4" t="s">
        <v>20</v>
      </c>
      <c r="C34" s="4" t="s">
        <v>21</v>
      </c>
      <c r="D34" s="4" t="s">
        <v>222</v>
      </c>
      <c r="E34" s="4" t="s">
        <v>296</v>
      </c>
      <c r="F34" s="4" t="s">
        <v>302</v>
      </c>
      <c r="G34" s="7">
        <v>2017</v>
      </c>
      <c r="H34" s="6">
        <v>87.4</v>
      </c>
      <c r="I34" s="4" t="s">
        <v>298</v>
      </c>
      <c r="J34" s="4" t="s">
        <v>303</v>
      </c>
      <c r="K34" s="4" t="s">
        <v>300</v>
      </c>
      <c r="L34" s="4" t="s">
        <v>301</v>
      </c>
    </row>
    <row r="35" spans="1:12" ht="28.8" x14ac:dyDescent="0.3">
      <c r="A35" s="3" t="s">
        <v>33</v>
      </c>
      <c r="B35" s="4" t="s">
        <v>20</v>
      </c>
      <c r="C35" s="4" t="s">
        <v>21</v>
      </c>
      <c r="D35" s="4" t="s">
        <v>222</v>
      </c>
      <c r="E35" s="4" t="s">
        <v>304</v>
      </c>
      <c r="F35" s="4" t="s">
        <v>305</v>
      </c>
      <c r="G35" s="7">
        <v>2017</v>
      </c>
      <c r="H35" s="6">
        <v>37.9</v>
      </c>
      <c r="I35" s="4" t="s">
        <v>298</v>
      </c>
      <c r="J35" s="4" t="s">
        <v>306</v>
      </c>
      <c r="K35" s="4" t="s">
        <v>300</v>
      </c>
      <c r="L35" s="4" t="s">
        <v>307</v>
      </c>
    </row>
    <row r="36" spans="1:12" ht="28.8" x14ac:dyDescent="0.3">
      <c r="A36" s="3" t="s">
        <v>33</v>
      </c>
      <c r="B36" s="4" t="s">
        <v>20</v>
      </c>
      <c r="C36" s="4" t="s">
        <v>21</v>
      </c>
      <c r="D36" s="4" t="s">
        <v>222</v>
      </c>
      <c r="E36" s="4" t="s">
        <v>308</v>
      </c>
      <c r="F36" s="4" t="s">
        <v>309</v>
      </c>
      <c r="G36" s="7">
        <v>2017</v>
      </c>
      <c r="H36" s="6">
        <v>3.3</v>
      </c>
      <c r="I36" s="4" t="s">
        <v>298</v>
      </c>
      <c r="J36" s="4" t="s">
        <v>216</v>
      </c>
      <c r="K36" s="4" t="s">
        <v>310</v>
      </c>
      <c r="L36" s="4" t="s">
        <v>311</v>
      </c>
    </row>
    <row r="37" spans="1:12" ht="28.8" x14ac:dyDescent="0.3">
      <c r="A37" s="3" t="s">
        <v>35</v>
      </c>
      <c r="B37" s="4" t="s">
        <v>20</v>
      </c>
      <c r="C37" s="4" t="s">
        <v>21</v>
      </c>
      <c r="D37" s="4" t="s">
        <v>223</v>
      </c>
      <c r="E37" s="4" t="s">
        <v>207</v>
      </c>
      <c r="F37" s="4" t="s">
        <v>293</v>
      </c>
      <c r="G37" s="7">
        <v>2026</v>
      </c>
      <c r="H37" s="6">
        <v>4054</v>
      </c>
      <c r="I37" s="4" t="s">
        <v>294</v>
      </c>
      <c r="J37" s="4" t="s">
        <v>215</v>
      </c>
      <c r="K37" s="4" t="s">
        <v>211</v>
      </c>
      <c r="L37" s="4" t="s">
        <v>295</v>
      </c>
    </row>
    <row r="38" spans="1:12" ht="28.8" x14ac:dyDescent="0.3">
      <c r="A38" s="3" t="s">
        <v>35</v>
      </c>
      <c r="B38" s="4" t="s">
        <v>20</v>
      </c>
      <c r="C38" s="4" t="s">
        <v>21</v>
      </c>
      <c r="D38" s="4" t="s">
        <v>223</v>
      </c>
      <c r="E38" s="4" t="s">
        <v>296</v>
      </c>
      <c r="F38" s="4" t="s">
        <v>297</v>
      </c>
      <c r="G38" s="7">
        <v>2017</v>
      </c>
      <c r="H38" s="6">
        <v>93.2</v>
      </c>
      <c r="I38" s="4" t="s">
        <v>298</v>
      </c>
      <c r="J38" s="4" t="s">
        <v>299</v>
      </c>
      <c r="K38" s="4" t="s">
        <v>300</v>
      </c>
      <c r="L38" s="4" t="s">
        <v>301</v>
      </c>
    </row>
    <row r="39" spans="1:12" ht="28.8" x14ac:dyDescent="0.3">
      <c r="A39" s="3" t="s">
        <v>35</v>
      </c>
      <c r="B39" s="4" t="s">
        <v>20</v>
      </c>
      <c r="C39" s="4" t="s">
        <v>21</v>
      </c>
      <c r="D39" s="4" t="s">
        <v>223</v>
      </c>
      <c r="E39" s="4" t="s">
        <v>296</v>
      </c>
      <c r="F39" s="4" t="s">
        <v>302</v>
      </c>
      <c r="G39" s="7">
        <v>2017</v>
      </c>
      <c r="H39" s="6">
        <v>48.4</v>
      </c>
      <c r="I39" s="4" t="s">
        <v>298</v>
      </c>
      <c r="J39" s="4" t="s">
        <v>303</v>
      </c>
      <c r="K39" s="4" t="s">
        <v>300</v>
      </c>
      <c r="L39" s="4" t="s">
        <v>301</v>
      </c>
    </row>
    <row r="40" spans="1:12" ht="28.8" x14ac:dyDescent="0.3">
      <c r="A40" s="3" t="s">
        <v>35</v>
      </c>
      <c r="B40" s="4" t="s">
        <v>20</v>
      </c>
      <c r="C40" s="4" t="s">
        <v>21</v>
      </c>
      <c r="D40" s="4" t="s">
        <v>223</v>
      </c>
      <c r="E40" s="4" t="s">
        <v>304</v>
      </c>
      <c r="F40" s="4" t="s">
        <v>305</v>
      </c>
      <c r="G40" s="7">
        <v>2017</v>
      </c>
      <c r="H40" s="6">
        <v>1.9</v>
      </c>
      <c r="I40" s="4" t="s">
        <v>298</v>
      </c>
      <c r="J40" s="4" t="s">
        <v>306</v>
      </c>
      <c r="K40" s="4" t="s">
        <v>300</v>
      </c>
      <c r="L40" s="4" t="s">
        <v>307</v>
      </c>
    </row>
    <row r="41" spans="1:12" ht="28.8" x14ac:dyDescent="0.3">
      <c r="A41" s="3" t="s">
        <v>35</v>
      </c>
      <c r="B41" s="4" t="s">
        <v>20</v>
      </c>
      <c r="C41" s="4" t="s">
        <v>21</v>
      </c>
      <c r="D41" s="4" t="s">
        <v>223</v>
      </c>
      <c r="E41" s="4" t="s">
        <v>308</v>
      </c>
      <c r="F41" s="4" t="s">
        <v>309</v>
      </c>
      <c r="G41" s="7">
        <v>2017</v>
      </c>
      <c r="H41" s="6">
        <v>10</v>
      </c>
      <c r="I41" s="4" t="s">
        <v>298</v>
      </c>
      <c r="J41" s="4" t="s">
        <v>216</v>
      </c>
      <c r="K41" s="4" t="s">
        <v>310</v>
      </c>
      <c r="L41" s="4" t="s">
        <v>311</v>
      </c>
    </row>
    <row r="42" spans="1:12" ht="28.8" x14ac:dyDescent="0.3">
      <c r="A42" s="3" t="s">
        <v>37</v>
      </c>
      <c r="B42" s="4" t="s">
        <v>20</v>
      </c>
      <c r="C42" s="4" t="s">
        <v>21</v>
      </c>
      <c r="D42" s="4" t="s">
        <v>224</v>
      </c>
      <c r="E42" s="4" t="s">
        <v>207</v>
      </c>
      <c r="F42" s="4" t="s">
        <v>293</v>
      </c>
      <c r="G42" s="7">
        <v>2026</v>
      </c>
      <c r="H42" s="6">
        <v>26442</v>
      </c>
      <c r="I42" s="4" t="s">
        <v>294</v>
      </c>
      <c r="J42" s="4" t="s">
        <v>215</v>
      </c>
      <c r="K42" s="4" t="s">
        <v>211</v>
      </c>
      <c r="L42" s="4" t="s">
        <v>295</v>
      </c>
    </row>
    <row r="43" spans="1:12" ht="28.8" x14ac:dyDescent="0.3">
      <c r="A43" s="3" t="s">
        <v>37</v>
      </c>
      <c r="B43" s="4" t="s">
        <v>20</v>
      </c>
      <c r="C43" s="4" t="s">
        <v>21</v>
      </c>
      <c r="D43" s="4" t="s">
        <v>224</v>
      </c>
      <c r="E43" s="4" t="s">
        <v>296</v>
      </c>
      <c r="F43" s="4" t="s">
        <v>297</v>
      </c>
      <c r="G43" s="7">
        <v>2017</v>
      </c>
      <c r="H43" s="6">
        <v>84.9</v>
      </c>
      <c r="I43" s="4" t="s">
        <v>298</v>
      </c>
      <c r="J43" s="4" t="s">
        <v>299</v>
      </c>
      <c r="K43" s="4" t="s">
        <v>300</v>
      </c>
      <c r="L43" s="4" t="s">
        <v>301</v>
      </c>
    </row>
    <row r="44" spans="1:12" ht="28.8" x14ac:dyDescent="0.3">
      <c r="A44" s="3" t="s">
        <v>37</v>
      </c>
      <c r="B44" s="4" t="s">
        <v>20</v>
      </c>
      <c r="C44" s="4" t="s">
        <v>21</v>
      </c>
      <c r="D44" s="4" t="s">
        <v>224</v>
      </c>
      <c r="E44" s="4" t="s">
        <v>296</v>
      </c>
      <c r="F44" s="4" t="s">
        <v>302</v>
      </c>
      <c r="G44" s="7">
        <v>2017</v>
      </c>
      <c r="H44" s="6">
        <v>80.5</v>
      </c>
      <c r="I44" s="4" t="s">
        <v>298</v>
      </c>
      <c r="J44" s="4" t="s">
        <v>303</v>
      </c>
      <c r="K44" s="4" t="s">
        <v>300</v>
      </c>
      <c r="L44" s="4" t="s">
        <v>301</v>
      </c>
    </row>
    <row r="45" spans="1:12" ht="28.8" x14ac:dyDescent="0.3">
      <c r="A45" s="3" t="s">
        <v>37</v>
      </c>
      <c r="B45" s="4" t="s">
        <v>20</v>
      </c>
      <c r="C45" s="4" t="s">
        <v>21</v>
      </c>
      <c r="D45" s="4" t="s">
        <v>224</v>
      </c>
      <c r="E45" s="4" t="s">
        <v>304</v>
      </c>
      <c r="F45" s="4" t="s">
        <v>305</v>
      </c>
      <c r="G45" s="7">
        <v>2017</v>
      </c>
      <c r="H45" s="6">
        <v>21.8</v>
      </c>
      <c r="I45" s="4" t="s">
        <v>298</v>
      </c>
      <c r="J45" s="4" t="s">
        <v>306</v>
      </c>
      <c r="K45" s="4" t="s">
        <v>300</v>
      </c>
      <c r="L45" s="4" t="s">
        <v>307</v>
      </c>
    </row>
    <row r="46" spans="1:12" ht="28.8" x14ac:dyDescent="0.3">
      <c r="A46" s="3" t="s">
        <v>37</v>
      </c>
      <c r="B46" s="4" t="s">
        <v>20</v>
      </c>
      <c r="C46" s="4" t="s">
        <v>21</v>
      </c>
      <c r="D46" s="4" t="s">
        <v>224</v>
      </c>
      <c r="E46" s="4" t="s">
        <v>308</v>
      </c>
      <c r="F46" s="4" t="s">
        <v>309</v>
      </c>
      <c r="G46" s="7">
        <v>2017</v>
      </c>
      <c r="H46" s="6">
        <v>3.4</v>
      </c>
      <c r="I46" s="4" t="s">
        <v>298</v>
      </c>
      <c r="J46" s="4" t="s">
        <v>216</v>
      </c>
      <c r="K46" s="4" t="s">
        <v>310</v>
      </c>
      <c r="L46" s="4" t="s">
        <v>311</v>
      </c>
    </row>
    <row r="47" spans="1:12" ht="28.8" x14ac:dyDescent="0.3">
      <c r="A47" s="3" t="s">
        <v>39</v>
      </c>
      <c r="B47" s="4" t="s">
        <v>20</v>
      </c>
      <c r="C47" s="4" t="s">
        <v>21</v>
      </c>
      <c r="D47" s="4" t="s">
        <v>225</v>
      </c>
      <c r="E47" s="4" t="s">
        <v>207</v>
      </c>
      <c r="F47" s="4" t="s">
        <v>293</v>
      </c>
      <c r="G47" s="7">
        <v>2026</v>
      </c>
      <c r="H47" s="6">
        <v>4685</v>
      </c>
      <c r="I47" s="4" t="s">
        <v>294</v>
      </c>
      <c r="J47" s="4" t="s">
        <v>215</v>
      </c>
      <c r="K47" s="4" t="s">
        <v>211</v>
      </c>
      <c r="L47" s="4" t="s">
        <v>295</v>
      </c>
    </row>
    <row r="48" spans="1:12" ht="28.8" x14ac:dyDescent="0.3">
      <c r="A48" s="3" t="s">
        <v>39</v>
      </c>
      <c r="B48" s="4" t="s">
        <v>20</v>
      </c>
      <c r="C48" s="4" t="s">
        <v>21</v>
      </c>
      <c r="D48" s="4" t="s">
        <v>225</v>
      </c>
      <c r="E48" s="4" t="s">
        <v>296</v>
      </c>
      <c r="F48" s="4" t="s">
        <v>297</v>
      </c>
      <c r="G48" s="7">
        <v>2017</v>
      </c>
      <c r="H48" s="6">
        <v>92.6</v>
      </c>
      <c r="I48" s="4" t="s">
        <v>298</v>
      </c>
      <c r="J48" s="4" t="s">
        <v>299</v>
      </c>
      <c r="K48" s="4" t="s">
        <v>300</v>
      </c>
      <c r="L48" s="4" t="s">
        <v>301</v>
      </c>
    </row>
    <row r="49" spans="1:12" ht="28.8" x14ac:dyDescent="0.3">
      <c r="A49" s="3" t="s">
        <v>39</v>
      </c>
      <c r="B49" s="4" t="s">
        <v>20</v>
      </c>
      <c r="C49" s="4" t="s">
        <v>21</v>
      </c>
      <c r="D49" s="4" t="s">
        <v>225</v>
      </c>
      <c r="E49" s="4" t="s">
        <v>296</v>
      </c>
      <c r="F49" s="4" t="s">
        <v>302</v>
      </c>
      <c r="G49" s="7">
        <v>2017</v>
      </c>
      <c r="H49" s="6">
        <v>24.6</v>
      </c>
      <c r="I49" s="4" t="s">
        <v>298</v>
      </c>
      <c r="J49" s="4" t="s">
        <v>303</v>
      </c>
      <c r="K49" s="4" t="s">
        <v>300</v>
      </c>
      <c r="L49" s="4" t="s">
        <v>301</v>
      </c>
    </row>
    <row r="50" spans="1:12" ht="28.8" x14ac:dyDescent="0.3">
      <c r="A50" s="3" t="s">
        <v>39</v>
      </c>
      <c r="B50" s="4" t="s">
        <v>20</v>
      </c>
      <c r="C50" s="4" t="s">
        <v>21</v>
      </c>
      <c r="D50" s="4" t="s">
        <v>225</v>
      </c>
      <c r="E50" s="4" t="s">
        <v>304</v>
      </c>
      <c r="F50" s="4" t="s">
        <v>305</v>
      </c>
      <c r="G50" s="7">
        <v>2017</v>
      </c>
      <c r="H50" s="6">
        <v>10.5</v>
      </c>
      <c r="I50" s="4" t="s">
        <v>298</v>
      </c>
      <c r="J50" s="4" t="s">
        <v>306</v>
      </c>
      <c r="K50" s="4" t="s">
        <v>300</v>
      </c>
      <c r="L50" s="4" t="s">
        <v>307</v>
      </c>
    </row>
    <row r="51" spans="1:12" ht="28.8" x14ac:dyDescent="0.3">
      <c r="A51" s="3" t="s">
        <v>39</v>
      </c>
      <c r="B51" s="4" t="s">
        <v>20</v>
      </c>
      <c r="C51" s="4" t="s">
        <v>21</v>
      </c>
      <c r="D51" s="4" t="s">
        <v>225</v>
      </c>
      <c r="E51" s="4" t="s">
        <v>308</v>
      </c>
      <c r="F51" s="4" t="s">
        <v>309</v>
      </c>
      <c r="G51" s="7">
        <v>2017</v>
      </c>
      <c r="H51" s="6">
        <v>9.1</v>
      </c>
      <c r="I51" s="4" t="s">
        <v>298</v>
      </c>
      <c r="J51" s="4" t="s">
        <v>216</v>
      </c>
      <c r="K51" s="4" t="s">
        <v>310</v>
      </c>
      <c r="L51" s="4" t="s">
        <v>311</v>
      </c>
    </row>
    <row r="52" spans="1:12" ht="28.8" x14ac:dyDescent="0.3">
      <c r="A52" s="3" t="s">
        <v>41</v>
      </c>
      <c r="B52" s="4" t="s">
        <v>20</v>
      </c>
      <c r="C52" s="4" t="s">
        <v>21</v>
      </c>
      <c r="D52" s="4" t="s">
        <v>226</v>
      </c>
      <c r="E52" s="4" t="s">
        <v>207</v>
      </c>
      <c r="F52" s="4" t="s">
        <v>293</v>
      </c>
      <c r="G52" s="7">
        <v>2026</v>
      </c>
      <c r="H52" s="6">
        <v>87367</v>
      </c>
      <c r="I52" s="4" t="s">
        <v>294</v>
      </c>
      <c r="J52" s="4" t="s">
        <v>215</v>
      </c>
      <c r="K52" s="4" t="s">
        <v>211</v>
      </c>
      <c r="L52" s="4" t="s">
        <v>295</v>
      </c>
    </row>
    <row r="53" spans="1:12" ht="28.8" x14ac:dyDescent="0.3">
      <c r="A53" s="3" t="s">
        <v>41</v>
      </c>
      <c r="B53" s="4" t="s">
        <v>20</v>
      </c>
      <c r="C53" s="4" t="s">
        <v>21</v>
      </c>
      <c r="D53" s="4" t="s">
        <v>226</v>
      </c>
      <c r="E53" s="4" t="s">
        <v>296</v>
      </c>
      <c r="F53" s="4" t="s">
        <v>297</v>
      </c>
      <c r="G53" s="7">
        <v>2017</v>
      </c>
      <c r="H53" s="6">
        <v>97.6</v>
      </c>
      <c r="I53" s="4" t="s">
        <v>298</v>
      </c>
      <c r="J53" s="4" t="s">
        <v>299</v>
      </c>
      <c r="K53" s="4" t="s">
        <v>300</v>
      </c>
      <c r="L53" s="4" t="s">
        <v>301</v>
      </c>
    </row>
    <row r="54" spans="1:12" ht="28.8" x14ac:dyDescent="0.3">
      <c r="A54" s="3" t="s">
        <v>41</v>
      </c>
      <c r="B54" s="4" t="s">
        <v>20</v>
      </c>
      <c r="C54" s="4" t="s">
        <v>21</v>
      </c>
      <c r="D54" s="4" t="s">
        <v>226</v>
      </c>
      <c r="E54" s="4" t="s">
        <v>296</v>
      </c>
      <c r="F54" s="4" t="s">
        <v>302</v>
      </c>
      <c r="G54" s="7">
        <v>2017</v>
      </c>
      <c r="H54" s="6">
        <v>97.7</v>
      </c>
      <c r="I54" s="4" t="s">
        <v>298</v>
      </c>
      <c r="J54" s="4" t="s">
        <v>303</v>
      </c>
      <c r="K54" s="4" t="s">
        <v>300</v>
      </c>
      <c r="L54" s="4" t="s">
        <v>301</v>
      </c>
    </row>
    <row r="55" spans="1:12" ht="28.8" x14ac:dyDescent="0.3">
      <c r="A55" s="3" t="s">
        <v>41</v>
      </c>
      <c r="B55" s="4" t="s">
        <v>20</v>
      </c>
      <c r="C55" s="4" t="s">
        <v>21</v>
      </c>
      <c r="D55" s="4" t="s">
        <v>226</v>
      </c>
      <c r="E55" s="4" t="s">
        <v>304</v>
      </c>
      <c r="F55" s="4" t="s">
        <v>305</v>
      </c>
      <c r="G55" s="7">
        <v>2017</v>
      </c>
      <c r="H55" s="6">
        <v>65</v>
      </c>
      <c r="I55" s="4" t="s">
        <v>298</v>
      </c>
      <c r="J55" s="4" t="s">
        <v>306</v>
      </c>
      <c r="K55" s="4" t="s">
        <v>300</v>
      </c>
      <c r="L55" s="4" t="s">
        <v>307</v>
      </c>
    </row>
    <row r="56" spans="1:12" ht="28.8" x14ac:dyDescent="0.3">
      <c r="A56" s="3" t="s">
        <v>41</v>
      </c>
      <c r="B56" s="4" t="s">
        <v>20</v>
      </c>
      <c r="C56" s="4" t="s">
        <v>21</v>
      </c>
      <c r="D56" s="4" t="s">
        <v>226</v>
      </c>
      <c r="E56" s="4" t="s">
        <v>308</v>
      </c>
      <c r="F56" s="4" t="s">
        <v>309</v>
      </c>
      <c r="G56" s="7">
        <v>2017</v>
      </c>
      <c r="H56" s="6">
        <v>1.6</v>
      </c>
      <c r="I56" s="4" t="s">
        <v>298</v>
      </c>
      <c r="J56" s="4" t="s">
        <v>216</v>
      </c>
      <c r="K56" s="4" t="s">
        <v>310</v>
      </c>
      <c r="L56" s="4" t="s">
        <v>311</v>
      </c>
    </row>
    <row r="57" spans="1:12" ht="28.8" x14ac:dyDescent="0.3">
      <c r="A57" s="3" t="s">
        <v>43</v>
      </c>
      <c r="B57" s="4" t="s">
        <v>20</v>
      </c>
      <c r="C57" s="4" t="s">
        <v>21</v>
      </c>
      <c r="D57" s="4" t="s">
        <v>227</v>
      </c>
      <c r="E57" s="4" t="s">
        <v>207</v>
      </c>
      <c r="F57" s="4" t="s">
        <v>293</v>
      </c>
      <c r="G57" s="7">
        <v>2026</v>
      </c>
      <c r="H57" s="6">
        <v>89279</v>
      </c>
      <c r="I57" s="4" t="s">
        <v>294</v>
      </c>
      <c r="J57" s="4" t="s">
        <v>215</v>
      </c>
      <c r="K57" s="4" t="s">
        <v>211</v>
      </c>
      <c r="L57" s="4" t="s">
        <v>295</v>
      </c>
    </row>
    <row r="58" spans="1:12" ht="28.8" x14ac:dyDescent="0.3">
      <c r="A58" s="3" t="s">
        <v>43</v>
      </c>
      <c r="B58" s="4" t="s">
        <v>20</v>
      </c>
      <c r="C58" s="4" t="s">
        <v>21</v>
      </c>
      <c r="D58" s="4" t="s">
        <v>227</v>
      </c>
      <c r="E58" s="4" t="s">
        <v>296</v>
      </c>
      <c r="F58" s="4" t="s">
        <v>297</v>
      </c>
      <c r="G58" s="7">
        <v>2017</v>
      </c>
      <c r="H58" s="6"/>
      <c r="I58" s="4" t="s">
        <v>298</v>
      </c>
      <c r="J58" s="4" t="s">
        <v>299</v>
      </c>
      <c r="K58" s="4" t="s">
        <v>300</v>
      </c>
      <c r="L58" s="4" t="s">
        <v>312</v>
      </c>
    </row>
    <row r="59" spans="1:12" ht="28.8" x14ac:dyDescent="0.3">
      <c r="A59" s="3" t="s">
        <v>43</v>
      </c>
      <c r="B59" s="4" t="s">
        <v>20</v>
      </c>
      <c r="C59" s="4" t="s">
        <v>21</v>
      </c>
      <c r="D59" s="4" t="s">
        <v>227</v>
      </c>
      <c r="E59" s="4" t="s">
        <v>296</v>
      </c>
      <c r="F59" s="4" t="s">
        <v>302</v>
      </c>
      <c r="G59" s="7">
        <v>2017</v>
      </c>
      <c r="H59" s="6"/>
      <c r="I59" s="4" t="s">
        <v>298</v>
      </c>
      <c r="J59" s="4" t="s">
        <v>303</v>
      </c>
      <c r="K59" s="4" t="s">
        <v>300</v>
      </c>
      <c r="L59" s="4" t="s">
        <v>312</v>
      </c>
    </row>
    <row r="60" spans="1:12" ht="28.8" x14ac:dyDescent="0.3">
      <c r="A60" s="3" t="s">
        <v>43</v>
      </c>
      <c r="B60" s="4" t="s">
        <v>20</v>
      </c>
      <c r="C60" s="4" t="s">
        <v>21</v>
      </c>
      <c r="D60" s="4" t="s">
        <v>227</v>
      </c>
      <c r="E60" s="4" t="s">
        <v>304</v>
      </c>
      <c r="F60" s="4" t="s">
        <v>305</v>
      </c>
      <c r="G60" s="7">
        <v>2017</v>
      </c>
      <c r="H60" s="6"/>
      <c r="I60" s="4" t="s">
        <v>298</v>
      </c>
      <c r="J60" s="4" t="s">
        <v>306</v>
      </c>
      <c r="K60" s="4" t="s">
        <v>300</v>
      </c>
      <c r="L60" s="4" t="s">
        <v>312</v>
      </c>
    </row>
    <row r="61" spans="1:12" ht="28.8" x14ac:dyDescent="0.3">
      <c r="A61" s="3" t="s">
        <v>43</v>
      </c>
      <c r="B61" s="4" t="s">
        <v>20</v>
      </c>
      <c r="C61" s="4" t="s">
        <v>21</v>
      </c>
      <c r="D61" s="4" t="s">
        <v>227</v>
      </c>
      <c r="E61" s="4" t="s">
        <v>308</v>
      </c>
      <c r="F61" s="4" t="s">
        <v>309</v>
      </c>
      <c r="G61" s="7">
        <v>2017</v>
      </c>
      <c r="H61" s="6"/>
      <c r="I61" s="4" t="s">
        <v>298</v>
      </c>
      <c r="J61" s="4" t="s">
        <v>216</v>
      </c>
      <c r="K61" s="4" t="s">
        <v>310</v>
      </c>
      <c r="L61" s="4" t="s">
        <v>312</v>
      </c>
    </row>
    <row r="62" spans="1:12" ht="28.8" x14ac:dyDescent="0.3">
      <c r="A62" s="3" t="s">
        <v>45</v>
      </c>
      <c r="B62" s="4" t="s">
        <v>20</v>
      </c>
      <c r="C62" s="4" t="s">
        <v>46</v>
      </c>
      <c r="D62" s="4" t="s">
        <v>46</v>
      </c>
      <c r="E62" s="4" t="s">
        <v>207</v>
      </c>
      <c r="F62" s="4" t="s">
        <v>293</v>
      </c>
      <c r="G62" s="7">
        <v>2026</v>
      </c>
      <c r="H62" s="6">
        <v>6840</v>
      </c>
      <c r="I62" s="4" t="s">
        <v>294</v>
      </c>
      <c r="J62" s="4" t="s">
        <v>215</v>
      </c>
      <c r="K62" s="4" t="s">
        <v>211</v>
      </c>
      <c r="L62" s="4" t="s">
        <v>295</v>
      </c>
    </row>
    <row r="63" spans="1:12" ht="28.8" x14ac:dyDescent="0.3">
      <c r="A63" s="3" t="s">
        <v>45</v>
      </c>
      <c r="B63" s="4" t="s">
        <v>20</v>
      </c>
      <c r="C63" s="4" t="s">
        <v>46</v>
      </c>
      <c r="D63" s="4" t="s">
        <v>46</v>
      </c>
      <c r="E63" s="4" t="s">
        <v>296</v>
      </c>
      <c r="F63" s="4" t="s">
        <v>297</v>
      </c>
      <c r="G63" s="7">
        <v>2017</v>
      </c>
      <c r="H63" s="6">
        <v>91.2</v>
      </c>
      <c r="I63" s="4" t="s">
        <v>298</v>
      </c>
      <c r="J63" s="4" t="s">
        <v>299</v>
      </c>
      <c r="K63" s="4" t="s">
        <v>300</v>
      </c>
      <c r="L63" s="4" t="s">
        <v>301</v>
      </c>
    </row>
    <row r="64" spans="1:12" ht="28.8" x14ac:dyDescent="0.3">
      <c r="A64" s="3" t="s">
        <v>45</v>
      </c>
      <c r="B64" s="4" t="s">
        <v>20</v>
      </c>
      <c r="C64" s="4" t="s">
        <v>46</v>
      </c>
      <c r="D64" s="4" t="s">
        <v>46</v>
      </c>
      <c r="E64" s="4" t="s">
        <v>296</v>
      </c>
      <c r="F64" s="4" t="s">
        <v>302</v>
      </c>
      <c r="G64" s="7">
        <v>2017</v>
      </c>
      <c r="H64" s="6">
        <v>87.7</v>
      </c>
      <c r="I64" s="4" t="s">
        <v>298</v>
      </c>
      <c r="J64" s="4" t="s">
        <v>303</v>
      </c>
      <c r="K64" s="4" t="s">
        <v>300</v>
      </c>
      <c r="L64" s="4" t="s">
        <v>301</v>
      </c>
    </row>
    <row r="65" spans="1:12" ht="28.8" x14ac:dyDescent="0.3">
      <c r="A65" s="3" t="s">
        <v>45</v>
      </c>
      <c r="B65" s="4" t="s">
        <v>20</v>
      </c>
      <c r="C65" s="4" t="s">
        <v>46</v>
      </c>
      <c r="D65" s="4" t="s">
        <v>46</v>
      </c>
      <c r="E65" s="4" t="s">
        <v>304</v>
      </c>
      <c r="F65" s="4" t="s">
        <v>305</v>
      </c>
      <c r="G65" s="7">
        <v>2017</v>
      </c>
      <c r="H65" s="6">
        <v>19.100000000000001</v>
      </c>
      <c r="I65" s="4" t="s">
        <v>298</v>
      </c>
      <c r="J65" s="4" t="s">
        <v>306</v>
      </c>
      <c r="K65" s="4" t="s">
        <v>300</v>
      </c>
      <c r="L65" s="4" t="s">
        <v>307</v>
      </c>
    </row>
    <row r="66" spans="1:12" ht="28.8" x14ac:dyDescent="0.3">
      <c r="A66" s="3" t="s">
        <v>45</v>
      </c>
      <c r="B66" s="4" t="s">
        <v>20</v>
      </c>
      <c r="C66" s="4" t="s">
        <v>46</v>
      </c>
      <c r="D66" s="4" t="s">
        <v>46</v>
      </c>
      <c r="E66" s="4" t="s">
        <v>308</v>
      </c>
      <c r="F66" s="4" t="s">
        <v>309</v>
      </c>
      <c r="G66" s="7">
        <v>2017</v>
      </c>
      <c r="H66" s="6">
        <v>4.7</v>
      </c>
      <c r="I66" s="4" t="s">
        <v>298</v>
      </c>
      <c r="J66" s="4" t="s">
        <v>216</v>
      </c>
      <c r="K66" s="4" t="s">
        <v>310</v>
      </c>
      <c r="L66" s="4" t="s">
        <v>311</v>
      </c>
    </row>
    <row r="67" spans="1:12" ht="28.8" x14ac:dyDescent="0.3">
      <c r="A67" s="3" t="s">
        <v>48</v>
      </c>
      <c r="B67" s="4" t="s">
        <v>20</v>
      </c>
      <c r="C67" s="4" t="s">
        <v>46</v>
      </c>
      <c r="D67" s="4" t="s">
        <v>228</v>
      </c>
      <c r="E67" s="4" t="s">
        <v>207</v>
      </c>
      <c r="F67" s="4" t="s">
        <v>293</v>
      </c>
      <c r="G67" s="7">
        <v>2026</v>
      </c>
      <c r="H67" s="6">
        <v>16262</v>
      </c>
      <c r="I67" s="4" t="s">
        <v>294</v>
      </c>
      <c r="J67" s="4" t="s">
        <v>215</v>
      </c>
      <c r="K67" s="4" t="s">
        <v>211</v>
      </c>
      <c r="L67" s="4" t="s">
        <v>295</v>
      </c>
    </row>
    <row r="68" spans="1:12" ht="28.8" x14ac:dyDescent="0.3">
      <c r="A68" s="3" t="s">
        <v>48</v>
      </c>
      <c r="B68" s="4" t="s">
        <v>20</v>
      </c>
      <c r="C68" s="4" t="s">
        <v>46</v>
      </c>
      <c r="D68" s="4" t="s">
        <v>228</v>
      </c>
      <c r="E68" s="4" t="s">
        <v>296</v>
      </c>
      <c r="F68" s="4" t="s">
        <v>297</v>
      </c>
      <c r="G68" s="7">
        <v>2017</v>
      </c>
      <c r="H68" s="6">
        <v>90.3</v>
      </c>
      <c r="I68" s="4" t="s">
        <v>298</v>
      </c>
      <c r="J68" s="4" t="s">
        <v>299</v>
      </c>
      <c r="K68" s="4" t="s">
        <v>300</v>
      </c>
      <c r="L68" s="4" t="s">
        <v>301</v>
      </c>
    </row>
    <row r="69" spans="1:12" ht="28.8" x14ac:dyDescent="0.3">
      <c r="A69" s="3" t="s">
        <v>48</v>
      </c>
      <c r="B69" s="4" t="s">
        <v>20</v>
      </c>
      <c r="C69" s="4" t="s">
        <v>46</v>
      </c>
      <c r="D69" s="4" t="s">
        <v>228</v>
      </c>
      <c r="E69" s="4" t="s">
        <v>296</v>
      </c>
      <c r="F69" s="4" t="s">
        <v>302</v>
      </c>
      <c r="G69" s="7">
        <v>2017</v>
      </c>
      <c r="H69" s="6">
        <v>84.3</v>
      </c>
      <c r="I69" s="4" t="s">
        <v>298</v>
      </c>
      <c r="J69" s="4" t="s">
        <v>303</v>
      </c>
      <c r="K69" s="4" t="s">
        <v>300</v>
      </c>
      <c r="L69" s="4" t="s">
        <v>301</v>
      </c>
    </row>
    <row r="70" spans="1:12" ht="28.8" x14ac:dyDescent="0.3">
      <c r="A70" s="3" t="s">
        <v>48</v>
      </c>
      <c r="B70" s="4" t="s">
        <v>20</v>
      </c>
      <c r="C70" s="4" t="s">
        <v>46</v>
      </c>
      <c r="D70" s="4" t="s">
        <v>228</v>
      </c>
      <c r="E70" s="4" t="s">
        <v>304</v>
      </c>
      <c r="F70" s="4" t="s">
        <v>305</v>
      </c>
      <c r="G70" s="7">
        <v>2017</v>
      </c>
      <c r="H70" s="6">
        <v>23.2</v>
      </c>
      <c r="I70" s="4" t="s">
        <v>298</v>
      </c>
      <c r="J70" s="4" t="s">
        <v>306</v>
      </c>
      <c r="K70" s="4" t="s">
        <v>300</v>
      </c>
      <c r="L70" s="4" t="s">
        <v>307</v>
      </c>
    </row>
    <row r="71" spans="1:12" ht="28.8" x14ac:dyDescent="0.3">
      <c r="A71" s="3" t="s">
        <v>48</v>
      </c>
      <c r="B71" s="4" t="s">
        <v>20</v>
      </c>
      <c r="C71" s="4" t="s">
        <v>46</v>
      </c>
      <c r="D71" s="4" t="s">
        <v>228</v>
      </c>
      <c r="E71" s="4" t="s">
        <v>308</v>
      </c>
      <c r="F71" s="4" t="s">
        <v>309</v>
      </c>
      <c r="G71" s="7">
        <v>2017</v>
      </c>
      <c r="H71" s="6">
        <v>5</v>
      </c>
      <c r="I71" s="4" t="s">
        <v>298</v>
      </c>
      <c r="J71" s="4" t="s">
        <v>216</v>
      </c>
      <c r="K71" s="4" t="s">
        <v>310</v>
      </c>
      <c r="L71" s="4" t="s">
        <v>311</v>
      </c>
    </row>
    <row r="72" spans="1:12" ht="28.8" x14ac:dyDescent="0.3">
      <c r="A72" s="3" t="s">
        <v>50</v>
      </c>
      <c r="B72" s="4" t="s">
        <v>20</v>
      </c>
      <c r="C72" s="4" t="s">
        <v>46</v>
      </c>
      <c r="D72" s="4" t="s">
        <v>229</v>
      </c>
      <c r="E72" s="4" t="s">
        <v>207</v>
      </c>
      <c r="F72" s="4" t="s">
        <v>293</v>
      </c>
      <c r="G72" s="7">
        <v>2026</v>
      </c>
      <c r="H72" s="6">
        <v>9717</v>
      </c>
      <c r="I72" s="4" t="s">
        <v>294</v>
      </c>
      <c r="J72" s="4" t="s">
        <v>215</v>
      </c>
      <c r="K72" s="4" t="s">
        <v>211</v>
      </c>
      <c r="L72" s="4" t="s">
        <v>295</v>
      </c>
    </row>
    <row r="73" spans="1:12" ht="28.8" x14ac:dyDescent="0.3">
      <c r="A73" s="3" t="s">
        <v>50</v>
      </c>
      <c r="B73" s="4" t="s">
        <v>20</v>
      </c>
      <c r="C73" s="4" t="s">
        <v>46</v>
      </c>
      <c r="D73" s="4" t="s">
        <v>229</v>
      </c>
      <c r="E73" s="4" t="s">
        <v>296</v>
      </c>
      <c r="F73" s="4" t="s">
        <v>297</v>
      </c>
      <c r="G73" s="7">
        <v>2017</v>
      </c>
      <c r="H73" s="6">
        <v>86.5</v>
      </c>
      <c r="I73" s="4" t="s">
        <v>298</v>
      </c>
      <c r="J73" s="4" t="s">
        <v>299</v>
      </c>
      <c r="K73" s="4" t="s">
        <v>300</v>
      </c>
      <c r="L73" s="4" t="s">
        <v>301</v>
      </c>
    </row>
    <row r="74" spans="1:12" ht="28.8" x14ac:dyDescent="0.3">
      <c r="A74" s="3" t="s">
        <v>50</v>
      </c>
      <c r="B74" s="4" t="s">
        <v>20</v>
      </c>
      <c r="C74" s="4" t="s">
        <v>46</v>
      </c>
      <c r="D74" s="4" t="s">
        <v>229</v>
      </c>
      <c r="E74" s="4" t="s">
        <v>296</v>
      </c>
      <c r="F74" s="4" t="s">
        <v>302</v>
      </c>
      <c r="G74" s="7">
        <v>2017</v>
      </c>
      <c r="H74" s="6">
        <v>80.8</v>
      </c>
      <c r="I74" s="4" t="s">
        <v>298</v>
      </c>
      <c r="J74" s="4" t="s">
        <v>303</v>
      </c>
      <c r="K74" s="4" t="s">
        <v>300</v>
      </c>
      <c r="L74" s="4" t="s">
        <v>301</v>
      </c>
    </row>
    <row r="75" spans="1:12" ht="28.8" x14ac:dyDescent="0.3">
      <c r="A75" s="3" t="s">
        <v>50</v>
      </c>
      <c r="B75" s="4" t="s">
        <v>20</v>
      </c>
      <c r="C75" s="4" t="s">
        <v>46</v>
      </c>
      <c r="D75" s="4" t="s">
        <v>229</v>
      </c>
      <c r="E75" s="4" t="s">
        <v>304</v>
      </c>
      <c r="F75" s="4" t="s">
        <v>305</v>
      </c>
      <c r="G75" s="7">
        <v>2017</v>
      </c>
      <c r="H75" s="6">
        <v>32</v>
      </c>
      <c r="I75" s="4" t="s">
        <v>298</v>
      </c>
      <c r="J75" s="4" t="s">
        <v>306</v>
      </c>
      <c r="K75" s="4" t="s">
        <v>300</v>
      </c>
      <c r="L75" s="4" t="s">
        <v>307</v>
      </c>
    </row>
    <row r="76" spans="1:12" ht="28.8" x14ac:dyDescent="0.3">
      <c r="A76" s="3" t="s">
        <v>50</v>
      </c>
      <c r="B76" s="4" t="s">
        <v>20</v>
      </c>
      <c r="C76" s="4" t="s">
        <v>46</v>
      </c>
      <c r="D76" s="4" t="s">
        <v>229</v>
      </c>
      <c r="E76" s="4" t="s">
        <v>308</v>
      </c>
      <c r="F76" s="4" t="s">
        <v>309</v>
      </c>
      <c r="G76" s="7">
        <v>2017</v>
      </c>
      <c r="H76" s="6">
        <v>4.0999999999999996</v>
      </c>
      <c r="I76" s="4" t="s">
        <v>298</v>
      </c>
      <c r="J76" s="4" t="s">
        <v>216</v>
      </c>
      <c r="K76" s="4" t="s">
        <v>310</v>
      </c>
      <c r="L76" s="4" t="s">
        <v>311</v>
      </c>
    </row>
    <row r="77" spans="1:12" ht="28.8" x14ac:dyDescent="0.3">
      <c r="A77" s="3" t="s">
        <v>52</v>
      </c>
      <c r="B77" s="4" t="s">
        <v>20</v>
      </c>
      <c r="C77" s="4" t="s">
        <v>46</v>
      </c>
      <c r="D77" s="4" t="s">
        <v>230</v>
      </c>
      <c r="E77" s="4" t="s">
        <v>207</v>
      </c>
      <c r="F77" s="4" t="s">
        <v>293</v>
      </c>
      <c r="G77" s="7">
        <v>2026</v>
      </c>
      <c r="H77" s="6">
        <v>2595</v>
      </c>
      <c r="I77" s="4" t="s">
        <v>294</v>
      </c>
      <c r="J77" s="4" t="s">
        <v>215</v>
      </c>
      <c r="K77" s="4" t="s">
        <v>211</v>
      </c>
      <c r="L77" s="4" t="s">
        <v>295</v>
      </c>
    </row>
    <row r="78" spans="1:12" ht="28.8" x14ac:dyDescent="0.3">
      <c r="A78" s="3" t="s">
        <v>52</v>
      </c>
      <c r="B78" s="4" t="s">
        <v>20</v>
      </c>
      <c r="C78" s="4" t="s">
        <v>46</v>
      </c>
      <c r="D78" s="4" t="s">
        <v>230</v>
      </c>
      <c r="E78" s="4" t="s">
        <v>296</v>
      </c>
      <c r="F78" s="4" t="s">
        <v>297</v>
      </c>
      <c r="G78" s="7">
        <v>2017</v>
      </c>
      <c r="H78" s="6">
        <v>96.6</v>
      </c>
      <c r="I78" s="4" t="s">
        <v>298</v>
      </c>
      <c r="J78" s="4" t="s">
        <v>299</v>
      </c>
      <c r="K78" s="4" t="s">
        <v>300</v>
      </c>
      <c r="L78" s="4" t="s">
        <v>301</v>
      </c>
    </row>
    <row r="79" spans="1:12" ht="28.8" x14ac:dyDescent="0.3">
      <c r="A79" s="3" t="s">
        <v>52</v>
      </c>
      <c r="B79" s="4" t="s">
        <v>20</v>
      </c>
      <c r="C79" s="4" t="s">
        <v>46</v>
      </c>
      <c r="D79" s="4" t="s">
        <v>230</v>
      </c>
      <c r="E79" s="4" t="s">
        <v>296</v>
      </c>
      <c r="F79" s="4" t="s">
        <v>302</v>
      </c>
      <c r="G79" s="7">
        <v>2017</v>
      </c>
      <c r="H79" s="6">
        <v>94.6</v>
      </c>
      <c r="I79" s="4" t="s">
        <v>298</v>
      </c>
      <c r="J79" s="4" t="s">
        <v>303</v>
      </c>
      <c r="K79" s="4" t="s">
        <v>300</v>
      </c>
      <c r="L79" s="4" t="s">
        <v>301</v>
      </c>
    </row>
    <row r="80" spans="1:12" ht="28.8" x14ac:dyDescent="0.3">
      <c r="A80" s="3" t="s">
        <v>52</v>
      </c>
      <c r="B80" s="4" t="s">
        <v>20</v>
      </c>
      <c r="C80" s="4" t="s">
        <v>46</v>
      </c>
      <c r="D80" s="4" t="s">
        <v>230</v>
      </c>
      <c r="E80" s="4" t="s">
        <v>304</v>
      </c>
      <c r="F80" s="4" t="s">
        <v>305</v>
      </c>
      <c r="G80" s="7">
        <v>2017</v>
      </c>
      <c r="H80" s="6">
        <v>35.9</v>
      </c>
      <c r="I80" s="4" t="s">
        <v>298</v>
      </c>
      <c r="J80" s="4" t="s">
        <v>306</v>
      </c>
      <c r="K80" s="4" t="s">
        <v>300</v>
      </c>
      <c r="L80" s="4" t="s">
        <v>307</v>
      </c>
    </row>
    <row r="81" spans="1:12" ht="28.8" x14ac:dyDescent="0.3">
      <c r="A81" s="3" t="s">
        <v>52</v>
      </c>
      <c r="B81" s="4" t="s">
        <v>20</v>
      </c>
      <c r="C81" s="4" t="s">
        <v>46</v>
      </c>
      <c r="D81" s="4" t="s">
        <v>230</v>
      </c>
      <c r="E81" s="4" t="s">
        <v>308</v>
      </c>
      <c r="F81" s="4" t="s">
        <v>309</v>
      </c>
      <c r="G81" s="7">
        <v>2017</v>
      </c>
      <c r="H81" s="6">
        <v>5.6</v>
      </c>
      <c r="I81" s="4" t="s">
        <v>298</v>
      </c>
      <c r="J81" s="4" t="s">
        <v>216</v>
      </c>
      <c r="K81" s="4" t="s">
        <v>310</v>
      </c>
      <c r="L81" s="4" t="s">
        <v>311</v>
      </c>
    </row>
    <row r="82" spans="1:12" ht="28.8" x14ac:dyDescent="0.3">
      <c r="A82" s="3" t="s">
        <v>54</v>
      </c>
      <c r="B82" s="4" t="s">
        <v>20</v>
      </c>
      <c r="C82" s="4" t="s">
        <v>46</v>
      </c>
      <c r="D82" s="4" t="s">
        <v>231</v>
      </c>
      <c r="E82" s="4" t="s">
        <v>207</v>
      </c>
      <c r="F82" s="4" t="s">
        <v>293</v>
      </c>
      <c r="G82" s="7">
        <v>2026</v>
      </c>
      <c r="H82" s="6">
        <v>31332</v>
      </c>
      <c r="I82" s="4" t="s">
        <v>294</v>
      </c>
      <c r="J82" s="4" t="s">
        <v>215</v>
      </c>
      <c r="K82" s="4" t="s">
        <v>211</v>
      </c>
      <c r="L82" s="4" t="s">
        <v>295</v>
      </c>
    </row>
    <row r="83" spans="1:12" ht="28.8" x14ac:dyDescent="0.3">
      <c r="A83" s="3" t="s">
        <v>54</v>
      </c>
      <c r="B83" s="4" t="s">
        <v>20</v>
      </c>
      <c r="C83" s="4" t="s">
        <v>46</v>
      </c>
      <c r="D83" s="4" t="s">
        <v>231</v>
      </c>
      <c r="E83" s="4" t="s">
        <v>296</v>
      </c>
      <c r="F83" s="4" t="s">
        <v>297</v>
      </c>
      <c r="G83" s="7">
        <v>2017</v>
      </c>
      <c r="H83" s="6">
        <v>84.2</v>
      </c>
      <c r="I83" s="4" t="s">
        <v>298</v>
      </c>
      <c r="J83" s="4" t="s">
        <v>299</v>
      </c>
      <c r="K83" s="4" t="s">
        <v>300</v>
      </c>
      <c r="L83" s="4" t="s">
        <v>301</v>
      </c>
    </row>
    <row r="84" spans="1:12" ht="28.8" x14ac:dyDescent="0.3">
      <c r="A84" s="3" t="s">
        <v>54</v>
      </c>
      <c r="B84" s="4" t="s">
        <v>20</v>
      </c>
      <c r="C84" s="4" t="s">
        <v>46</v>
      </c>
      <c r="D84" s="4" t="s">
        <v>231</v>
      </c>
      <c r="E84" s="4" t="s">
        <v>296</v>
      </c>
      <c r="F84" s="4" t="s">
        <v>302</v>
      </c>
      <c r="G84" s="7">
        <v>2017</v>
      </c>
      <c r="H84" s="6">
        <v>66.900000000000006</v>
      </c>
      <c r="I84" s="4" t="s">
        <v>298</v>
      </c>
      <c r="J84" s="4" t="s">
        <v>303</v>
      </c>
      <c r="K84" s="4" t="s">
        <v>300</v>
      </c>
      <c r="L84" s="4" t="s">
        <v>301</v>
      </c>
    </row>
    <row r="85" spans="1:12" ht="28.8" x14ac:dyDescent="0.3">
      <c r="A85" s="3" t="s">
        <v>54</v>
      </c>
      <c r="B85" s="4" t="s">
        <v>20</v>
      </c>
      <c r="C85" s="4" t="s">
        <v>46</v>
      </c>
      <c r="D85" s="4" t="s">
        <v>231</v>
      </c>
      <c r="E85" s="4" t="s">
        <v>304</v>
      </c>
      <c r="F85" s="4" t="s">
        <v>305</v>
      </c>
      <c r="G85" s="7">
        <v>2017</v>
      </c>
      <c r="H85" s="6">
        <v>21</v>
      </c>
      <c r="I85" s="4" t="s">
        <v>298</v>
      </c>
      <c r="J85" s="4" t="s">
        <v>306</v>
      </c>
      <c r="K85" s="4" t="s">
        <v>300</v>
      </c>
      <c r="L85" s="4" t="s">
        <v>307</v>
      </c>
    </row>
    <row r="86" spans="1:12" ht="28.8" x14ac:dyDescent="0.3">
      <c r="A86" s="3" t="s">
        <v>54</v>
      </c>
      <c r="B86" s="4" t="s">
        <v>20</v>
      </c>
      <c r="C86" s="4" t="s">
        <v>46</v>
      </c>
      <c r="D86" s="4" t="s">
        <v>231</v>
      </c>
      <c r="E86" s="4" t="s">
        <v>308</v>
      </c>
      <c r="F86" s="4" t="s">
        <v>309</v>
      </c>
      <c r="G86" s="7">
        <v>2017</v>
      </c>
      <c r="H86" s="6">
        <v>5.5</v>
      </c>
      <c r="I86" s="4" t="s">
        <v>298</v>
      </c>
      <c r="J86" s="4" t="s">
        <v>216</v>
      </c>
      <c r="K86" s="4" t="s">
        <v>310</v>
      </c>
      <c r="L86" s="4" t="s">
        <v>311</v>
      </c>
    </row>
    <row r="87" spans="1:12" ht="28.8" x14ac:dyDescent="0.3">
      <c r="A87" s="3" t="s">
        <v>56</v>
      </c>
      <c r="B87" s="4" t="s">
        <v>20</v>
      </c>
      <c r="C87" s="4" t="s">
        <v>46</v>
      </c>
      <c r="D87" s="4" t="s">
        <v>232</v>
      </c>
      <c r="E87" s="4" t="s">
        <v>207</v>
      </c>
      <c r="F87" s="4" t="s">
        <v>293</v>
      </c>
      <c r="G87" s="7">
        <v>2026</v>
      </c>
      <c r="H87" s="6">
        <v>9801</v>
      </c>
      <c r="I87" s="4" t="s">
        <v>294</v>
      </c>
      <c r="J87" s="4" t="s">
        <v>215</v>
      </c>
      <c r="K87" s="4" t="s">
        <v>211</v>
      </c>
      <c r="L87" s="4" t="s">
        <v>295</v>
      </c>
    </row>
    <row r="88" spans="1:12" ht="28.8" x14ac:dyDescent="0.3">
      <c r="A88" s="3" t="s">
        <v>56</v>
      </c>
      <c r="B88" s="4" t="s">
        <v>20</v>
      </c>
      <c r="C88" s="4" t="s">
        <v>46</v>
      </c>
      <c r="D88" s="4" t="s">
        <v>232</v>
      </c>
      <c r="E88" s="4" t="s">
        <v>296</v>
      </c>
      <c r="F88" s="4" t="s">
        <v>297</v>
      </c>
      <c r="G88" s="7">
        <v>2017</v>
      </c>
      <c r="H88" s="6">
        <v>76.900000000000006</v>
      </c>
      <c r="I88" s="4" t="s">
        <v>298</v>
      </c>
      <c r="J88" s="4" t="s">
        <v>299</v>
      </c>
      <c r="K88" s="4" t="s">
        <v>300</v>
      </c>
      <c r="L88" s="4" t="s">
        <v>301</v>
      </c>
    </row>
    <row r="89" spans="1:12" ht="28.8" x14ac:dyDescent="0.3">
      <c r="A89" s="3" t="s">
        <v>56</v>
      </c>
      <c r="B89" s="4" t="s">
        <v>20</v>
      </c>
      <c r="C89" s="4" t="s">
        <v>46</v>
      </c>
      <c r="D89" s="4" t="s">
        <v>232</v>
      </c>
      <c r="E89" s="4" t="s">
        <v>296</v>
      </c>
      <c r="F89" s="4" t="s">
        <v>302</v>
      </c>
      <c r="G89" s="7">
        <v>2017</v>
      </c>
      <c r="H89" s="6">
        <v>60.9</v>
      </c>
      <c r="I89" s="4" t="s">
        <v>298</v>
      </c>
      <c r="J89" s="4" t="s">
        <v>303</v>
      </c>
      <c r="K89" s="4" t="s">
        <v>300</v>
      </c>
      <c r="L89" s="4" t="s">
        <v>301</v>
      </c>
    </row>
    <row r="90" spans="1:12" ht="28.8" x14ac:dyDescent="0.3">
      <c r="A90" s="3" t="s">
        <v>56</v>
      </c>
      <c r="B90" s="4" t="s">
        <v>20</v>
      </c>
      <c r="C90" s="4" t="s">
        <v>46</v>
      </c>
      <c r="D90" s="4" t="s">
        <v>232</v>
      </c>
      <c r="E90" s="4" t="s">
        <v>304</v>
      </c>
      <c r="F90" s="4" t="s">
        <v>305</v>
      </c>
      <c r="G90" s="7">
        <v>2017</v>
      </c>
      <c r="H90" s="6">
        <v>17.100000000000001</v>
      </c>
      <c r="I90" s="4" t="s">
        <v>298</v>
      </c>
      <c r="J90" s="4" t="s">
        <v>306</v>
      </c>
      <c r="K90" s="4" t="s">
        <v>300</v>
      </c>
      <c r="L90" s="4" t="s">
        <v>307</v>
      </c>
    </row>
    <row r="91" spans="1:12" ht="28.8" x14ac:dyDescent="0.3">
      <c r="A91" s="3" t="s">
        <v>56</v>
      </c>
      <c r="B91" s="4" t="s">
        <v>20</v>
      </c>
      <c r="C91" s="4" t="s">
        <v>46</v>
      </c>
      <c r="D91" s="4" t="s">
        <v>232</v>
      </c>
      <c r="E91" s="4" t="s">
        <v>308</v>
      </c>
      <c r="F91" s="4" t="s">
        <v>309</v>
      </c>
      <c r="G91" s="7">
        <v>2017</v>
      </c>
      <c r="H91" s="6">
        <v>4.4000000000000004</v>
      </c>
      <c r="I91" s="4" t="s">
        <v>298</v>
      </c>
      <c r="J91" s="4" t="s">
        <v>216</v>
      </c>
      <c r="K91" s="4" t="s">
        <v>310</v>
      </c>
      <c r="L91" s="4" t="s">
        <v>311</v>
      </c>
    </row>
    <row r="92" spans="1:12" ht="28.8" x14ac:dyDescent="0.3">
      <c r="A92" s="3" t="s">
        <v>58</v>
      </c>
      <c r="B92" s="4" t="s">
        <v>20</v>
      </c>
      <c r="C92" s="4" t="s">
        <v>46</v>
      </c>
      <c r="D92" s="4" t="s">
        <v>233</v>
      </c>
      <c r="E92" s="4" t="s">
        <v>207</v>
      </c>
      <c r="F92" s="4" t="s">
        <v>293</v>
      </c>
      <c r="G92" s="7">
        <v>2026</v>
      </c>
      <c r="H92" s="6">
        <v>20227</v>
      </c>
      <c r="I92" s="4" t="s">
        <v>294</v>
      </c>
      <c r="J92" s="4" t="s">
        <v>215</v>
      </c>
      <c r="K92" s="4" t="s">
        <v>211</v>
      </c>
      <c r="L92" s="4" t="s">
        <v>295</v>
      </c>
    </row>
    <row r="93" spans="1:12" ht="28.8" x14ac:dyDescent="0.3">
      <c r="A93" s="3" t="s">
        <v>58</v>
      </c>
      <c r="B93" s="4" t="s">
        <v>20</v>
      </c>
      <c r="C93" s="4" t="s">
        <v>46</v>
      </c>
      <c r="D93" s="4" t="s">
        <v>233</v>
      </c>
      <c r="E93" s="4" t="s">
        <v>296</v>
      </c>
      <c r="F93" s="4" t="s">
        <v>297</v>
      </c>
      <c r="G93" s="7">
        <v>2017</v>
      </c>
      <c r="H93" s="6">
        <v>90.9</v>
      </c>
      <c r="I93" s="4" t="s">
        <v>298</v>
      </c>
      <c r="J93" s="4" t="s">
        <v>299</v>
      </c>
      <c r="K93" s="4" t="s">
        <v>300</v>
      </c>
      <c r="L93" s="4" t="s">
        <v>301</v>
      </c>
    </row>
    <row r="94" spans="1:12" ht="28.8" x14ac:dyDescent="0.3">
      <c r="A94" s="3" t="s">
        <v>58</v>
      </c>
      <c r="B94" s="4" t="s">
        <v>20</v>
      </c>
      <c r="C94" s="4" t="s">
        <v>46</v>
      </c>
      <c r="D94" s="4" t="s">
        <v>233</v>
      </c>
      <c r="E94" s="4" t="s">
        <v>296</v>
      </c>
      <c r="F94" s="4" t="s">
        <v>302</v>
      </c>
      <c r="G94" s="7">
        <v>2017</v>
      </c>
      <c r="H94" s="6">
        <v>93.3</v>
      </c>
      <c r="I94" s="4" t="s">
        <v>298</v>
      </c>
      <c r="J94" s="4" t="s">
        <v>303</v>
      </c>
      <c r="K94" s="4" t="s">
        <v>300</v>
      </c>
      <c r="L94" s="4" t="s">
        <v>301</v>
      </c>
    </row>
    <row r="95" spans="1:12" ht="28.8" x14ac:dyDescent="0.3">
      <c r="A95" s="3" t="s">
        <v>58</v>
      </c>
      <c r="B95" s="4" t="s">
        <v>20</v>
      </c>
      <c r="C95" s="4" t="s">
        <v>46</v>
      </c>
      <c r="D95" s="4" t="s">
        <v>233</v>
      </c>
      <c r="E95" s="4" t="s">
        <v>304</v>
      </c>
      <c r="F95" s="4" t="s">
        <v>305</v>
      </c>
      <c r="G95" s="7">
        <v>2017</v>
      </c>
      <c r="H95" s="6">
        <v>34</v>
      </c>
      <c r="I95" s="4" t="s">
        <v>298</v>
      </c>
      <c r="J95" s="4" t="s">
        <v>306</v>
      </c>
      <c r="K95" s="4" t="s">
        <v>300</v>
      </c>
      <c r="L95" s="4" t="s">
        <v>307</v>
      </c>
    </row>
    <row r="96" spans="1:12" ht="28.8" x14ac:dyDescent="0.3">
      <c r="A96" s="3" t="s">
        <v>58</v>
      </c>
      <c r="B96" s="4" t="s">
        <v>20</v>
      </c>
      <c r="C96" s="4" t="s">
        <v>46</v>
      </c>
      <c r="D96" s="4" t="s">
        <v>233</v>
      </c>
      <c r="E96" s="4" t="s">
        <v>308</v>
      </c>
      <c r="F96" s="4" t="s">
        <v>309</v>
      </c>
      <c r="G96" s="7">
        <v>2017</v>
      </c>
      <c r="H96" s="6">
        <v>3.6</v>
      </c>
      <c r="I96" s="4" t="s">
        <v>298</v>
      </c>
      <c r="J96" s="4" t="s">
        <v>216</v>
      </c>
      <c r="K96" s="4" t="s">
        <v>310</v>
      </c>
      <c r="L96" s="4" t="s">
        <v>311</v>
      </c>
    </row>
    <row r="97" spans="1:12" ht="28.8" x14ac:dyDescent="0.3">
      <c r="A97" s="3" t="s">
        <v>60</v>
      </c>
      <c r="B97" s="4" t="s">
        <v>20</v>
      </c>
      <c r="C97" s="4" t="s">
        <v>46</v>
      </c>
      <c r="D97" s="4" t="s">
        <v>234</v>
      </c>
      <c r="E97" s="4" t="s">
        <v>207</v>
      </c>
      <c r="F97" s="4" t="s">
        <v>293</v>
      </c>
      <c r="G97" s="7">
        <v>2026</v>
      </c>
      <c r="H97" s="6">
        <v>29996</v>
      </c>
      <c r="I97" s="4" t="s">
        <v>294</v>
      </c>
      <c r="J97" s="4" t="s">
        <v>215</v>
      </c>
      <c r="K97" s="4" t="s">
        <v>211</v>
      </c>
      <c r="L97" s="4" t="s">
        <v>295</v>
      </c>
    </row>
    <row r="98" spans="1:12" ht="28.8" x14ac:dyDescent="0.3">
      <c r="A98" s="3" t="s">
        <v>60</v>
      </c>
      <c r="B98" s="4" t="s">
        <v>20</v>
      </c>
      <c r="C98" s="4" t="s">
        <v>46</v>
      </c>
      <c r="D98" s="4" t="s">
        <v>234</v>
      </c>
      <c r="E98" s="4" t="s">
        <v>296</v>
      </c>
      <c r="F98" s="4" t="s">
        <v>297</v>
      </c>
      <c r="G98" s="7">
        <v>2017</v>
      </c>
      <c r="H98" s="6">
        <v>88.4</v>
      </c>
      <c r="I98" s="4" t="s">
        <v>298</v>
      </c>
      <c r="J98" s="4" t="s">
        <v>299</v>
      </c>
      <c r="K98" s="4" t="s">
        <v>300</v>
      </c>
      <c r="L98" s="4" t="s">
        <v>301</v>
      </c>
    </row>
    <row r="99" spans="1:12" ht="28.8" x14ac:dyDescent="0.3">
      <c r="A99" s="3" t="s">
        <v>60</v>
      </c>
      <c r="B99" s="4" t="s">
        <v>20</v>
      </c>
      <c r="C99" s="4" t="s">
        <v>46</v>
      </c>
      <c r="D99" s="4" t="s">
        <v>234</v>
      </c>
      <c r="E99" s="4" t="s">
        <v>296</v>
      </c>
      <c r="F99" s="4" t="s">
        <v>302</v>
      </c>
      <c r="G99" s="7">
        <v>2017</v>
      </c>
      <c r="H99" s="6">
        <v>94.2</v>
      </c>
      <c r="I99" s="4" t="s">
        <v>298</v>
      </c>
      <c r="J99" s="4" t="s">
        <v>303</v>
      </c>
      <c r="K99" s="4" t="s">
        <v>300</v>
      </c>
      <c r="L99" s="4" t="s">
        <v>301</v>
      </c>
    </row>
    <row r="100" spans="1:12" ht="28.8" x14ac:dyDescent="0.3">
      <c r="A100" s="3" t="s">
        <v>60</v>
      </c>
      <c r="B100" s="4" t="s">
        <v>20</v>
      </c>
      <c r="C100" s="4" t="s">
        <v>46</v>
      </c>
      <c r="D100" s="4" t="s">
        <v>234</v>
      </c>
      <c r="E100" s="4" t="s">
        <v>304</v>
      </c>
      <c r="F100" s="4" t="s">
        <v>305</v>
      </c>
      <c r="G100" s="7">
        <v>2017</v>
      </c>
      <c r="H100" s="6">
        <v>30.6</v>
      </c>
      <c r="I100" s="4" t="s">
        <v>298</v>
      </c>
      <c r="J100" s="4" t="s">
        <v>306</v>
      </c>
      <c r="K100" s="4" t="s">
        <v>300</v>
      </c>
      <c r="L100" s="4" t="s">
        <v>307</v>
      </c>
    </row>
    <row r="101" spans="1:12" ht="28.8" x14ac:dyDescent="0.3">
      <c r="A101" s="3" t="s">
        <v>60</v>
      </c>
      <c r="B101" s="4" t="s">
        <v>20</v>
      </c>
      <c r="C101" s="4" t="s">
        <v>46</v>
      </c>
      <c r="D101" s="4" t="s">
        <v>234</v>
      </c>
      <c r="E101" s="4" t="s">
        <v>308</v>
      </c>
      <c r="F101" s="4" t="s">
        <v>309</v>
      </c>
      <c r="G101" s="7">
        <v>2017</v>
      </c>
      <c r="H101" s="6">
        <v>3.9</v>
      </c>
      <c r="I101" s="4" t="s">
        <v>298</v>
      </c>
      <c r="J101" s="4" t="s">
        <v>216</v>
      </c>
      <c r="K101" s="4" t="s">
        <v>310</v>
      </c>
      <c r="L101" s="4" t="s">
        <v>311</v>
      </c>
    </row>
    <row r="102" spans="1:12" ht="28.8" x14ac:dyDescent="0.3">
      <c r="A102" s="3" t="s">
        <v>62</v>
      </c>
      <c r="B102" s="4" t="s">
        <v>20</v>
      </c>
      <c r="C102" s="4" t="s">
        <v>63</v>
      </c>
      <c r="D102" s="4" t="s">
        <v>63</v>
      </c>
      <c r="E102" s="4" t="s">
        <v>207</v>
      </c>
      <c r="F102" s="4" t="s">
        <v>293</v>
      </c>
      <c r="G102" s="7">
        <v>2026</v>
      </c>
      <c r="H102" s="6">
        <v>5145</v>
      </c>
      <c r="I102" s="4" t="s">
        <v>294</v>
      </c>
      <c r="J102" s="4" t="s">
        <v>215</v>
      </c>
      <c r="K102" s="4" t="s">
        <v>211</v>
      </c>
      <c r="L102" s="4" t="s">
        <v>295</v>
      </c>
    </row>
    <row r="103" spans="1:12" ht="28.8" x14ac:dyDescent="0.3">
      <c r="A103" s="3" t="s">
        <v>62</v>
      </c>
      <c r="B103" s="4" t="s">
        <v>20</v>
      </c>
      <c r="C103" s="4" t="s">
        <v>63</v>
      </c>
      <c r="D103" s="4" t="s">
        <v>63</v>
      </c>
      <c r="E103" s="4" t="s">
        <v>296</v>
      </c>
      <c r="F103" s="4" t="s">
        <v>297</v>
      </c>
      <c r="G103" s="7">
        <v>2017</v>
      </c>
      <c r="H103" s="6">
        <v>73.400000000000006</v>
      </c>
      <c r="I103" s="4" t="s">
        <v>298</v>
      </c>
      <c r="J103" s="4" t="s">
        <v>299</v>
      </c>
      <c r="K103" s="4" t="s">
        <v>300</v>
      </c>
      <c r="L103" s="4" t="s">
        <v>301</v>
      </c>
    </row>
    <row r="104" spans="1:12" ht="28.8" x14ac:dyDescent="0.3">
      <c r="A104" s="3" t="s">
        <v>62</v>
      </c>
      <c r="B104" s="4" t="s">
        <v>20</v>
      </c>
      <c r="C104" s="4" t="s">
        <v>63</v>
      </c>
      <c r="D104" s="4" t="s">
        <v>63</v>
      </c>
      <c r="E104" s="4" t="s">
        <v>296</v>
      </c>
      <c r="F104" s="4" t="s">
        <v>302</v>
      </c>
      <c r="G104" s="7">
        <v>2017</v>
      </c>
      <c r="H104" s="6">
        <v>35</v>
      </c>
      <c r="I104" s="4" t="s">
        <v>298</v>
      </c>
      <c r="J104" s="4" t="s">
        <v>303</v>
      </c>
      <c r="K104" s="4" t="s">
        <v>300</v>
      </c>
      <c r="L104" s="4" t="s">
        <v>301</v>
      </c>
    </row>
    <row r="105" spans="1:12" ht="28.8" x14ac:dyDescent="0.3">
      <c r="A105" s="3" t="s">
        <v>62</v>
      </c>
      <c r="B105" s="4" t="s">
        <v>20</v>
      </c>
      <c r="C105" s="4" t="s">
        <v>63</v>
      </c>
      <c r="D105" s="4" t="s">
        <v>63</v>
      </c>
      <c r="E105" s="4" t="s">
        <v>304</v>
      </c>
      <c r="F105" s="4" t="s">
        <v>305</v>
      </c>
      <c r="G105" s="7">
        <v>2017</v>
      </c>
      <c r="H105" s="6">
        <v>1.9</v>
      </c>
      <c r="I105" s="4" t="s">
        <v>298</v>
      </c>
      <c r="J105" s="4" t="s">
        <v>306</v>
      </c>
      <c r="K105" s="4" t="s">
        <v>300</v>
      </c>
      <c r="L105" s="4" t="s">
        <v>307</v>
      </c>
    </row>
    <row r="106" spans="1:12" ht="28.8" x14ac:dyDescent="0.3">
      <c r="A106" s="3" t="s">
        <v>62</v>
      </c>
      <c r="B106" s="4" t="s">
        <v>20</v>
      </c>
      <c r="C106" s="4" t="s">
        <v>63</v>
      </c>
      <c r="D106" s="4" t="s">
        <v>63</v>
      </c>
      <c r="E106" s="4" t="s">
        <v>308</v>
      </c>
      <c r="F106" s="4" t="s">
        <v>309</v>
      </c>
      <c r="G106" s="7">
        <v>2017</v>
      </c>
      <c r="H106" s="6">
        <v>9.8000000000000007</v>
      </c>
      <c r="I106" s="4" t="s">
        <v>298</v>
      </c>
      <c r="J106" s="4" t="s">
        <v>216</v>
      </c>
      <c r="K106" s="4" t="s">
        <v>310</v>
      </c>
      <c r="L106" s="4" t="s">
        <v>311</v>
      </c>
    </row>
    <row r="107" spans="1:12" ht="28.8" x14ac:dyDescent="0.3">
      <c r="A107" s="3" t="s">
        <v>65</v>
      </c>
      <c r="B107" s="4" t="s">
        <v>20</v>
      </c>
      <c r="C107" s="4" t="s">
        <v>63</v>
      </c>
      <c r="D107" s="4" t="s">
        <v>235</v>
      </c>
      <c r="E107" s="4" t="s">
        <v>207</v>
      </c>
      <c r="F107" s="4" t="s">
        <v>293</v>
      </c>
      <c r="G107" s="7">
        <v>2026</v>
      </c>
      <c r="H107" s="6">
        <v>2986</v>
      </c>
      <c r="I107" s="4" t="s">
        <v>294</v>
      </c>
      <c r="J107" s="4" t="s">
        <v>215</v>
      </c>
      <c r="K107" s="4" t="s">
        <v>211</v>
      </c>
      <c r="L107" s="4" t="s">
        <v>295</v>
      </c>
    </row>
    <row r="108" spans="1:12" ht="28.8" x14ac:dyDescent="0.3">
      <c r="A108" s="3" t="s">
        <v>65</v>
      </c>
      <c r="B108" s="4" t="s">
        <v>20</v>
      </c>
      <c r="C108" s="4" t="s">
        <v>63</v>
      </c>
      <c r="D108" s="4" t="s">
        <v>235</v>
      </c>
      <c r="E108" s="4" t="s">
        <v>296</v>
      </c>
      <c r="F108" s="4" t="s">
        <v>297</v>
      </c>
      <c r="G108" s="7">
        <v>2017</v>
      </c>
      <c r="H108" s="6">
        <v>76</v>
      </c>
      <c r="I108" s="4" t="s">
        <v>298</v>
      </c>
      <c r="J108" s="4" t="s">
        <v>299</v>
      </c>
      <c r="K108" s="4" t="s">
        <v>300</v>
      </c>
      <c r="L108" s="4" t="s">
        <v>301</v>
      </c>
    </row>
    <row r="109" spans="1:12" ht="28.8" x14ac:dyDescent="0.3">
      <c r="A109" s="3" t="s">
        <v>65</v>
      </c>
      <c r="B109" s="4" t="s">
        <v>20</v>
      </c>
      <c r="C109" s="4" t="s">
        <v>63</v>
      </c>
      <c r="D109" s="4" t="s">
        <v>235</v>
      </c>
      <c r="E109" s="4" t="s">
        <v>296</v>
      </c>
      <c r="F109" s="4" t="s">
        <v>302</v>
      </c>
      <c r="G109" s="7">
        <v>2017</v>
      </c>
      <c r="H109" s="6">
        <v>31.5</v>
      </c>
      <c r="I109" s="4" t="s">
        <v>298</v>
      </c>
      <c r="J109" s="4" t="s">
        <v>303</v>
      </c>
      <c r="K109" s="4" t="s">
        <v>300</v>
      </c>
      <c r="L109" s="4" t="s">
        <v>301</v>
      </c>
    </row>
    <row r="110" spans="1:12" ht="28.8" x14ac:dyDescent="0.3">
      <c r="A110" s="3" t="s">
        <v>65</v>
      </c>
      <c r="B110" s="4" t="s">
        <v>20</v>
      </c>
      <c r="C110" s="4" t="s">
        <v>63</v>
      </c>
      <c r="D110" s="4" t="s">
        <v>235</v>
      </c>
      <c r="E110" s="4" t="s">
        <v>304</v>
      </c>
      <c r="F110" s="4" t="s">
        <v>305</v>
      </c>
      <c r="G110" s="7">
        <v>2017</v>
      </c>
      <c r="H110" s="6">
        <v>0</v>
      </c>
      <c r="I110" s="4" t="s">
        <v>298</v>
      </c>
      <c r="J110" s="4" t="s">
        <v>306</v>
      </c>
      <c r="K110" s="4" t="s">
        <v>300</v>
      </c>
      <c r="L110" s="4" t="s">
        <v>307</v>
      </c>
    </row>
    <row r="111" spans="1:12" ht="28.8" x14ac:dyDescent="0.3">
      <c r="A111" s="3" t="s">
        <v>65</v>
      </c>
      <c r="B111" s="4" t="s">
        <v>20</v>
      </c>
      <c r="C111" s="4" t="s">
        <v>63</v>
      </c>
      <c r="D111" s="4" t="s">
        <v>235</v>
      </c>
      <c r="E111" s="4" t="s">
        <v>308</v>
      </c>
      <c r="F111" s="4" t="s">
        <v>309</v>
      </c>
      <c r="G111" s="7">
        <v>2017</v>
      </c>
      <c r="H111" s="6">
        <v>15.2</v>
      </c>
      <c r="I111" s="4" t="s">
        <v>298</v>
      </c>
      <c r="J111" s="4" t="s">
        <v>216</v>
      </c>
      <c r="K111" s="4" t="s">
        <v>310</v>
      </c>
      <c r="L111" s="4" t="s">
        <v>311</v>
      </c>
    </row>
    <row r="112" spans="1:12" ht="28.8" x14ac:dyDescent="0.3">
      <c r="A112" s="3" t="s">
        <v>67</v>
      </c>
      <c r="B112" s="4" t="s">
        <v>20</v>
      </c>
      <c r="C112" s="4" t="s">
        <v>63</v>
      </c>
      <c r="D112" s="4" t="s">
        <v>236</v>
      </c>
      <c r="E112" s="4" t="s">
        <v>207</v>
      </c>
      <c r="F112" s="4" t="s">
        <v>293</v>
      </c>
      <c r="G112" s="7">
        <v>2026</v>
      </c>
      <c r="H112" s="6">
        <v>2101</v>
      </c>
      <c r="I112" s="4" t="s">
        <v>294</v>
      </c>
      <c r="J112" s="4" t="s">
        <v>215</v>
      </c>
      <c r="K112" s="4" t="s">
        <v>211</v>
      </c>
      <c r="L112" s="4" t="s">
        <v>295</v>
      </c>
    </row>
    <row r="113" spans="1:12" ht="28.8" x14ac:dyDescent="0.3">
      <c r="A113" s="3" t="s">
        <v>67</v>
      </c>
      <c r="B113" s="4" t="s">
        <v>20</v>
      </c>
      <c r="C113" s="4" t="s">
        <v>63</v>
      </c>
      <c r="D113" s="4" t="s">
        <v>236</v>
      </c>
      <c r="E113" s="4" t="s">
        <v>296</v>
      </c>
      <c r="F113" s="4" t="s">
        <v>297</v>
      </c>
      <c r="G113" s="7">
        <v>2017</v>
      </c>
      <c r="H113" s="6">
        <v>60.4</v>
      </c>
      <c r="I113" s="4" t="s">
        <v>298</v>
      </c>
      <c r="J113" s="4" t="s">
        <v>299</v>
      </c>
      <c r="K113" s="4" t="s">
        <v>300</v>
      </c>
      <c r="L113" s="4" t="s">
        <v>301</v>
      </c>
    </row>
    <row r="114" spans="1:12" ht="28.8" x14ac:dyDescent="0.3">
      <c r="A114" s="3" t="s">
        <v>67</v>
      </c>
      <c r="B114" s="4" t="s">
        <v>20</v>
      </c>
      <c r="C114" s="4" t="s">
        <v>63</v>
      </c>
      <c r="D114" s="4" t="s">
        <v>236</v>
      </c>
      <c r="E114" s="4" t="s">
        <v>296</v>
      </c>
      <c r="F114" s="4" t="s">
        <v>302</v>
      </c>
      <c r="G114" s="7">
        <v>2017</v>
      </c>
      <c r="H114" s="6">
        <v>21.2</v>
      </c>
      <c r="I114" s="4" t="s">
        <v>298</v>
      </c>
      <c r="J114" s="4" t="s">
        <v>303</v>
      </c>
      <c r="K114" s="4" t="s">
        <v>300</v>
      </c>
      <c r="L114" s="4" t="s">
        <v>301</v>
      </c>
    </row>
    <row r="115" spans="1:12" ht="28.8" x14ac:dyDescent="0.3">
      <c r="A115" s="3" t="s">
        <v>67</v>
      </c>
      <c r="B115" s="4" t="s">
        <v>20</v>
      </c>
      <c r="C115" s="4" t="s">
        <v>63</v>
      </c>
      <c r="D115" s="4" t="s">
        <v>236</v>
      </c>
      <c r="E115" s="4" t="s">
        <v>304</v>
      </c>
      <c r="F115" s="4" t="s">
        <v>305</v>
      </c>
      <c r="G115" s="7">
        <v>2017</v>
      </c>
      <c r="H115" s="6">
        <v>2.7</v>
      </c>
      <c r="I115" s="4" t="s">
        <v>298</v>
      </c>
      <c r="J115" s="4" t="s">
        <v>306</v>
      </c>
      <c r="K115" s="4" t="s">
        <v>300</v>
      </c>
      <c r="L115" s="4" t="s">
        <v>307</v>
      </c>
    </row>
    <row r="116" spans="1:12" ht="28.8" x14ac:dyDescent="0.3">
      <c r="A116" s="3" t="s">
        <v>67</v>
      </c>
      <c r="B116" s="4" t="s">
        <v>20</v>
      </c>
      <c r="C116" s="4" t="s">
        <v>63</v>
      </c>
      <c r="D116" s="4" t="s">
        <v>236</v>
      </c>
      <c r="E116" s="4" t="s">
        <v>308</v>
      </c>
      <c r="F116" s="4" t="s">
        <v>309</v>
      </c>
      <c r="G116" s="7">
        <v>2017</v>
      </c>
      <c r="H116" s="6">
        <v>13</v>
      </c>
      <c r="I116" s="4" t="s">
        <v>298</v>
      </c>
      <c r="J116" s="4" t="s">
        <v>216</v>
      </c>
      <c r="K116" s="4" t="s">
        <v>310</v>
      </c>
      <c r="L116" s="4" t="s">
        <v>311</v>
      </c>
    </row>
    <row r="117" spans="1:12" ht="28.8" x14ac:dyDescent="0.3">
      <c r="A117" s="3" t="s">
        <v>69</v>
      </c>
      <c r="B117" s="4" t="s">
        <v>20</v>
      </c>
      <c r="C117" s="4" t="s">
        <v>63</v>
      </c>
      <c r="D117" s="4" t="s">
        <v>237</v>
      </c>
      <c r="E117" s="4" t="s">
        <v>207</v>
      </c>
      <c r="F117" s="4" t="s">
        <v>293</v>
      </c>
      <c r="G117" s="7">
        <v>2026</v>
      </c>
      <c r="H117" s="6">
        <v>2378</v>
      </c>
      <c r="I117" s="4" t="s">
        <v>294</v>
      </c>
      <c r="J117" s="4" t="s">
        <v>215</v>
      </c>
      <c r="K117" s="4" t="s">
        <v>211</v>
      </c>
      <c r="L117" s="4" t="s">
        <v>295</v>
      </c>
    </row>
    <row r="118" spans="1:12" ht="28.8" x14ac:dyDescent="0.3">
      <c r="A118" s="3" t="s">
        <v>69</v>
      </c>
      <c r="B118" s="4" t="s">
        <v>20</v>
      </c>
      <c r="C118" s="4" t="s">
        <v>63</v>
      </c>
      <c r="D118" s="4" t="s">
        <v>237</v>
      </c>
      <c r="E118" s="4" t="s">
        <v>296</v>
      </c>
      <c r="F118" s="4" t="s">
        <v>297</v>
      </c>
      <c r="G118" s="7">
        <v>2017</v>
      </c>
      <c r="H118" s="6">
        <v>82.9</v>
      </c>
      <c r="I118" s="4" t="s">
        <v>298</v>
      </c>
      <c r="J118" s="4" t="s">
        <v>299</v>
      </c>
      <c r="K118" s="4" t="s">
        <v>300</v>
      </c>
      <c r="L118" s="4" t="s">
        <v>301</v>
      </c>
    </row>
    <row r="119" spans="1:12" ht="28.8" x14ac:dyDescent="0.3">
      <c r="A119" s="3" t="s">
        <v>69</v>
      </c>
      <c r="B119" s="4" t="s">
        <v>20</v>
      </c>
      <c r="C119" s="4" t="s">
        <v>63</v>
      </c>
      <c r="D119" s="4" t="s">
        <v>237</v>
      </c>
      <c r="E119" s="4" t="s">
        <v>296</v>
      </c>
      <c r="F119" s="4" t="s">
        <v>302</v>
      </c>
      <c r="G119" s="7">
        <v>2017</v>
      </c>
      <c r="H119" s="6">
        <v>57.8</v>
      </c>
      <c r="I119" s="4" t="s">
        <v>298</v>
      </c>
      <c r="J119" s="4" t="s">
        <v>303</v>
      </c>
      <c r="K119" s="4" t="s">
        <v>300</v>
      </c>
      <c r="L119" s="4" t="s">
        <v>301</v>
      </c>
    </row>
    <row r="120" spans="1:12" ht="28.8" x14ac:dyDescent="0.3">
      <c r="A120" s="3" t="s">
        <v>69</v>
      </c>
      <c r="B120" s="4" t="s">
        <v>20</v>
      </c>
      <c r="C120" s="4" t="s">
        <v>63</v>
      </c>
      <c r="D120" s="4" t="s">
        <v>237</v>
      </c>
      <c r="E120" s="4" t="s">
        <v>304</v>
      </c>
      <c r="F120" s="4" t="s">
        <v>305</v>
      </c>
      <c r="G120" s="7">
        <v>2017</v>
      </c>
      <c r="H120" s="6">
        <v>1</v>
      </c>
      <c r="I120" s="4" t="s">
        <v>298</v>
      </c>
      <c r="J120" s="4" t="s">
        <v>306</v>
      </c>
      <c r="K120" s="4" t="s">
        <v>300</v>
      </c>
      <c r="L120" s="4" t="s">
        <v>307</v>
      </c>
    </row>
    <row r="121" spans="1:12" ht="28.8" x14ac:dyDescent="0.3">
      <c r="A121" s="3" t="s">
        <v>69</v>
      </c>
      <c r="B121" s="4" t="s">
        <v>20</v>
      </c>
      <c r="C121" s="4" t="s">
        <v>63</v>
      </c>
      <c r="D121" s="4" t="s">
        <v>237</v>
      </c>
      <c r="E121" s="4" t="s">
        <v>308</v>
      </c>
      <c r="F121" s="4" t="s">
        <v>309</v>
      </c>
      <c r="G121" s="7">
        <v>2017</v>
      </c>
      <c r="H121" s="6">
        <v>8.6999999999999993</v>
      </c>
      <c r="I121" s="4" t="s">
        <v>298</v>
      </c>
      <c r="J121" s="4" t="s">
        <v>216</v>
      </c>
      <c r="K121" s="4" t="s">
        <v>310</v>
      </c>
      <c r="L121" s="4" t="s">
        <v>311</v>
      </c>
    </row>
    <row r="122" spans="1:12" ht="28.8" x14ac:dyDescent="0.3">
      <c r="A122" s="3" t="s">
        <v>71</v>
      </c>
      <c r="B122" s="4" t="s">
        <v>20</v>
      </c>
      <c r="C122" s="4" t="s">
        <v>63</v>
      </c>
      <c r="D122" s="4" t="s">
        <v>238</v>
      </c>
      <c r="E122" s="4" t="s">
        <v>207</v>
      </c>
      <c r="F122" s="4" t="s">
        <v>293</v>
      </c>
      <c r="G122" s="7">
        <v>2026</v>
      </c>
      <c r="H122" s="6">
        <v>2184</v>
      </c>
      <c r="I122" s="4" t="s">
        <v>294</v>
      </c>
      <c r="J122" s="4" t="s">
        <v>215</v>
      </c>
      <c r="K122" s="4" t="s">
        <v>211</v>
      </c>
      <c r="L122" s="4" t="s">
        <v>295</v>
      </c>
    </row>
    <row r="123" spans="1:12" ht="28.8" x14ac:dyDescent="0.3">
      <c r="A123" s="3" t="s">
        <v>71</v>
      </c>
      <c r="B123" s="4" t="s">
        <v>20</v>
      </c>
      <c r="C123" s="4" t="s">
        <v>63</v>
      </c>
      <c r="D123" s="4" t="s">
        <v>238</v>
      </c>
      <c r="E123" s="4" t="s">
        <v>296</v>
      </c>
      <c r="F123" s="4" t="s">
        <v>297</v>
      </c>
      <c r="G123" s="7">
        <v>2017</v>
      </c>
      <c r="H123" s="6">
        <v>79.099999999999994</v>
      </c>
      <c r="I123" s="4" t="s">
        <v>298</v>
      </c>
      <c r="J123" s="4" t="s">
        <v>299</v>
      </c>
      <c r="K123" s="4" t="s">
        <v>300</v>
      </c>
      <c r="L123" s="4" t="s">
        <v>301</v>
      </c>
    </row>
    <row r="124" spans="1:12" ht="28.8" x14ac:dyDescent="0.3">
      <c r="A124" s="3" t="s">
        <v>71</v>
      </c>
      <c r="B124" s="4" t="s">
        <v>20</v>
      </c>
      <c r="C124" s="4" t="s">
        <v>63</v>
      </c>
      <c r="D124" s="4" t="s">
        <v>238</v>
      </c>
      <c r="E124" s="4" t="s">
        <v>296</v>
      </c>
      <c r="F124" s="4" t="s">
        <v>302</v>
      </c>
      <c r="G124" s="7">
        <v>2017</v>
      </c>
      <c r="H124" s="6">
        <v>35.200000000000003</v>
      </c>
      <c r="I124" s="4" t="s">
        <v>298</v>
      </c>
      <c r="J124" s="4" t="s">
        <v>303</v>
      </c>
      <c r="K124" s="4" t="s">
        <v>300</v>
      </c>
      <c r="L124" s="4" t="s">
        <v>301</v>
      </c>
    </row>
    <row r="125" spans="1:12" ht="28.8" x14ac:dyDescent="0.3">
      <c r="A125" s="3" t="s">
        <v>71</v>
      </c>
      <c r="B125" s="4" t="s">
        <v>20</v>
      </c>
      <c r="C125" s="4" t="s">
        <v>63</v>
      </c>
      <c r="D125" s="4" t="s">
        <v>238</v>
      </c>
      <c r="E125" s="4" t="s">
        <v>304</v>
      </c>
      <c r="F125" s="4" t="s">
        <v>305</v>
      </c>
      <c r="G125" s="7">
        <v>2017</v>
      </c>
      <c r="H125" s="6">
        <v>2.5</v>
      </c>
      <c r="I125" s="4" t="s">
        <v>298</v>
      </c>
      <c r="J125" s="4" t="s">
        <v>306</v>
      </c>
      <c r="K125" s="4" t="s">
        <v>300</v>
      </c>
      <c r="L125" s="4" t="s">
        <v>307</v>
      </c>
    </row>
    <row r="126" spans="1:12" ht="28.8" x14ac:dyDescent="0.3">
      <c r="A126" s="3" t="s">
        <v>71</v>
      </c>
      <c r="B126" s="4" t="s">
        <v>20</v>
      </c>
      <c r="C126" s="4" t="s">
        <v>63</v>
      </c>
      <c r="D126" s="4" t="s">
        <v>238</v>
      </c>
      <c r="E126" s="4" t="s">
        <v>308</v>
      </c>
      <c r="F126" s="4" t="s">
        <v>309</v>
      </c>
      <c r="G126" s="7">
        <v>2017</v>
      </c>
      <c r="H126" s="6">
        <v>8.3000000000000007</v>
      </c>
      <c r="I126" s="4" t="s">
        <v>298</v>
      </c>
      <c r="J126" s="4" t="s">
        <v>216</v>
      </c>
      <c r="K126" s="4" t="s">
        <v>310</v>
      </c>
      <c r="L126" s="4" t="s">
        <v>311</v>
      </c>
    </row>
    <row r="127" spans="1:12" ht="28.8" x14ac:dyDescent="0.3">
      <c r="A127" s="3" t="s">
        <v>73</v>
      </c>
      <c r="B127" s="4" t="s">
        <v>20</v>
      </c>
      <c r="C127" s="4" t="s">
        <v>63</v>
      </c>
      <c r="D127" s="4" t="s">
        <v>239</v>
      </c>
      <c r="E127" s="4" t="s">
        <v>207</v>
      </c>
      <c r="F127" s="4" t="s">
        <v>293</v>
      </c>
      <c r="G127" s="7">
        <v>2026</v>
      </c>
      <c r="H127" s="6">
        <v>882</v>
      </c>
      <c r="I127" s="4" t="s">
        <v>294</v>
      </c>
      <c r="J127" s="4" t="s">
        <v>215</v>
      </c>
      <c r="K127" s="4" t="s">
        <v>211</v>
      </c>
      <c r="L127" s="4" t="s">
        <v>295</v>
      </c>
    </row>
    <row r="128" spans="1:12" ht="28.8" x14ac:dyDescent="0.3">
      <c r="A128" s="3" t="s">
        <v>73</v>
      </c>
      <c r="B128" s="4" t="s">
        <v>20</v>
      </c>
      <c r="C128" s="4" t="s">
        <v>63</v>
      </c>
      <c r="D128" s="4" t="s">
        <v>239</v>
      </c>
      <c r="E128" s="4" t="s">
        <v>296</v>
      </c>
      <c r="F128" s="4" t="s">
        <v>297</v>
      </c>
      <c r="G128" s="7">
        <v>2017</v>
      </c>
      <c r="H128" s="6">
        <v>7.1</v>
      </c>
      <c r="I128" s="4" t="s">
        <v>298</v>
      </c>
      <c r="J128" s="4" t="s">
        <v>299</v>
      </c>
      <c r="K128" s="4" t="s">
        <v>300</v>
      </c>
      <c r="L128" s="4" t="s">
        <v>301</v>
      </c>
    </row>
    <row r="129" spans="1:12" ht="28.8" x14ac:dyDescent="0.3">
      <c r="A129" s="3" t="s">
        <v>73</v>
      </c>
      <c r="B129" s="4" t="s">
        <v>20</v>
      </c>
      <c r="C129" s="4" t="s">
        <v>63</v>
      </c>
      <c r="D129" s="4" t="s">
        <v>239</v>
      </c>
      <c r="E129" s="4" t="s">
        <v>296</v>
      </c>
      <c r="F129" s="4" t="s">
        <v>302</v>
      </c>
      <c r="G129" s="7">
        <v>2017</v>
      </c>
      <c r="H129" s="6">
        <v>46</v>
      </c>
      <c r="I129" s="4" t="s">
        <v>298</v>
      </c>
      <c r="J129" s="4" t="s">
        <v>303</v>
      </c>
      <c r="K129" s="4" t="s">
        <v>300</v>
      </c>
      <c r="L129" s="4" t="s">
        <v>301</v>
      </c>
    </row>
    <row r="130" spans="1:12" ht="28.8" x14ac:dyDescent="0.3">
      <c r="A130" s="3" t="s">
        <v>73</v>
      </c>
      <c r="B130" s="4" t="s">
        <v>20</v>
      </c>
      <c r="C130" s="4" t="s">
        <v>63</v>
      </c>
      <c r="D130" s="4" t="s">
        <v>239</v>
      </c>
      <c r="E130" s="4" t="s">
        <v>304</v>
      </c>
      <c r="F130" s="4" t="s">
        <v>305</v>
      </c>
      <c r="G130" s="7">
        <v>2017</v>
      </c>
      <c r="H130" s="6">
        <v>0.8</v>
      </c>
      <c r="I130" s="4" t="s">
        <v>298</v>
      </c>
      <c r="J130" s="4" t="s">
        <v>306</v>
      </c>
      <c r="K130" s="4" t="s">
        <v>300</v>
      </c>
      <c r="L130" s="4" t="s">
        <v>307</v>
      </c>
    </row>
    <row r="131" spans="1:12" ht="28.8" x14ac:dyDescent="0.3">
      <c r="A131" s="3" t="s">
        <v>73</v>
      </c>
      <c r="B131" s="4" t="s">
        <v>20</v>
      </c>
      <c r="C131" s="4" t="s">
        <v>63</v>
      </c>
      <c r="D131" s="4" t="s">
        <v>239</v>
      </c>
      <c r="E131" s="4" t="s">
        <v>308</v>
      </c>
      <c r="F131" s="4" t="s">
        <v>309</v>
      </c>
      <c r="G131" s="7">
        <v>2017</v>
      </c>
      <c r="H131" s="6">
        <v>11.9</v>
      </c>
      <c r="I131" s="4" t="s">
        <v>298</v>
      </c>
      <c r="J131" s="4" t="s">
        <v>216</v>
      </c>
      <c r="K131" s="4" t="s">
        <v>310</v>
      </c>
      <c r="L131" s="4" t="s">
        <v>311</v>
      </c>
    </row>
    <row r="132" spans="1:12" ht="28.8" x14ac:dyDescent="0.3">
      <c r="A132" s="3" t="s">
        <v>75</v>
      </c>
      <c r="B132" s="4" t="s">
        <v>20</v>
      </c>
      <c r="C132" s="4" t="s">
        <v>76</v>
      </c>
      <c r="D132" s="4" t="s">
        <v>76</v>
      </c>
      <c r="E132" s="4" t="s">
        <v>207</v>
      </c>
      <c r="F132" s="4" t="s">
        <v>293</v>
      </c>
      <c r="G132" s="7">
        <v>2026</v>
      </c>
      <c r="H132" s="6">
        <v>50314</v>
      </c>
      <c r="I132" s="4" t="s">
        <v>294</v>
      </c>
      <c r="J132" s="4" t="s">
        <v>215</v>
      </c>
      <c r="K132" s="4" t="s">
        <v>211</v>
      </c>
      <c r="L132" s="4" t="s">
        <v>295</v>
      </c>
    </row>
    <row r="133" spans="1:12" ht="28.8" x14ac:dyDescent="0.3">
      <c r="A133" s="3" t="s">
        <v>75</v>
      </c>
      <c r="B133" s="4" t="s">
        <v>20</v>
      </c>
      <c r="C133" s="4" t="s">
        <v>76</v>
      </c>
      <c r="D133" s="4" t="s">
        <v>76</v>
      </c>
      <c r="E133" s="4" t="s">
        <v>296</v>
      </c>
      <c r="F133" s="4" t="s">
        <v>297</v>
      </c>
      <c r="G133" s="7">
        <v>2017</v>
      </c>
      <c r="H133" s="6">
        <v>84.2</v>
      </c>
      <c r="I133" s="4" t="s">
        <v>298</v>
      </c>
      <c r="J133" s="4" t="s">
        <v>299</v>
      </c>
      <c r="K133" s="4" t="s">
        <v>300</v>
      </c>
      <c r="L133" s="4" t="s">
        <v>301</v>
      </c>
    </row>
    <row r="134" spans="1:12" ht="28.8" x14ac:dyDescent="0.3">
      <c r="A134" s="3" t="s">
        <v>75</v>
      </c>
      <c r="B134" s="4" t="s">
        <v>20</v>
      </c>
      <c r="C134" s="4" t="s">
        <v>76</v>
      </c>
      <c r="D134" s="4" t="s">
        <v>76</v>
      </c>
      <c r="E134" s="4" t="s">
        <v>296</v>
      </c>
      <c r="F134" s="4" t="s">
        <v>302</v>
      </c>
      <c r="G134" s="7">
        <v>2017</v>
      </c>
      <c r="H134" s="6">
        <v>74.900000000000006</v>
      </c>
      <c r="I134" s="4" t="s">
        <v>298</v>
      </c>
      <c r="J134" s="4" t="s">
        <v>303</v>
      </c>
      <c r="K134" s="4" t="s">
        <v>300</v>
      </c>
      <c r="L134" s="4" t="s">
        <v>301</v>
      </c>
    </row>
    <row r="135" spans="1:12" ht="28.8" x14ac:dyDescent="0.3">
      <c r="A135" s="3" t="s">
        <v>75</v>
      </c>
      <c r="B135" s="4" t="s">
        <v>20</v>
      </c>
      <c r="C135" s="4" t="s">
        <v>76</v>
      </c>
      <c r="D135" s="4" t="s">
        <v>76</v>
      </c>
      <c r="E135" s="4" t="s">
        <v>304</v>
      </c>
      <c r="F135" s="4" t="s">
        <v>305</v>
      </c>
      <c r="G135" s="7">
        <v>2017</v>
      </c>
      <c r="H135" s="6">
        <v>22.6</v>
      </c>
      <c r="I135" s="4" t="s">
        <v>298</v>
      </c>
      <c r="J135" s="4" t="s">
        <v>306</v>
      </c>
      <c r="K135" s="4" t="s">
        <v>300</v>
      </c>
      <c r="L135" s="4" t="s">
        <v>307</v>
      </c>
    </row>
    <row r="136" spans="1:12" ht="28.8" x14ac:dyDescent="0.3">
      <c r="A136" s="3" t="s">
        <v>75</v>
      </c>
      <c r="B136" s="4" t="s">
        <v>20</v>
      </c>
      <c r="C136" s="4" t="s">
        <v>76</v>
      </c>
      <c r="D136" s="4" t="s">
        <v>76</v>
      </c>
      <c r="E136" s="4" t="s">
        <v>308</v>
      </c>
      <c r="F136" s="4" t="s">
        <v>309</v>
      </c>
      <c r="G136" s="7">
        <v>2017</v>
      </c>
      <c r="H136" s="6">
        <v>5.2</v>
      </c>
      <c r="I136" s="4" t="s">
        <v>298</v>
      </c>
      <c r="J136" s="4" t="s">
        <v>216</v>
      </c>
      <c r="K136" s="4" t="s">
        <v>310</v>
      </c>
      <c r="L136" s="4" t="s">
        <v>311</v>
      </c>
    </row>
    <row r="137" spans="1:12" ht="28.8" x14ac:dyDescent="0.3">
      <c r="A137" s="3" t="s">
        <v>78</v>
      </c>
      <c r="B137" s="4" t="s">
        <v>20</v>
      </c>
      <c r="C137" s="4" t="s">
        <v>76</v>
      </c>
      <c r="D137" s="4" t="s">
        <v>240</v>
      </c>
      <c r="E137" s="4" t="s">
        <v>207</v>
      </c>
      <c r="F137" s="4" t="s">
        <v>293</v>
      </c>
      <c r="G137" s="7">
        <v>2026</v>
      </c>
      <c r="H137" s="6">
        <v>27360</v>
      </c>
      <c r="I137" s="4" t="s">
        <v>294</v>
      </c>
      <c r="J137" s="4" t="s">
        <v>215</v>
      </c>
      <c r="K137" s="4" t="s">
        <v>211</v>
      </c>
      <c r="L137" s="4" t="s">
        <v>295</v>
      </c>
    </row>
    <row r="138" spans="1:12" ht="28.8" x14ac:dyDescent="0.3">
      <c r="A138" s="3" t="s">
        <v>78</v>
      </c>
      <c r="B138" s="4" t="s">
        <v>20</v>
      </c>
      <c r="C138" s="4" t="s">
        <v>76</v>
      </c>
      <c r="D138" s="4" t="s">
        <v>240</v>
      </c>
      <c r="E138" s="4" t="s">
        <v>296</v>
      </c>
      <c r="F138" s="4" t="s">
        <v>297</v>
      </c>
      <c r="G138" s="7">
        <v>2017</v>
      </c>
      <c r="H138" s="6">
        <v>71</v>
      </c>
      <c r="I138" s="4" t="s">
        <v>298</v>
      </c>
      <c r="J138" s="4" t="s">
        <v>299</v>
      </c>
      <c r="K138" s="4" t="s">
        <v>300</v>
      </c>
      <c r="L138" s="4" t="s">
        <v>301</v>
      </c>
    </row>
    <row r="139" spans="1:12" ht="28.8" x14ac:dyDescent="0.3">
      <c r="A139" s="3" t="s">
        <v>78</v>
      </c>
      <c r="B139" s="4" t="s">
        <v>20</v>
      </c>
      <c r="C139" s="4" t="s">
        <v>76</v>
      </c>
      <c r="D139" s="4" t="s">
        <v>240</v>
      </c>
      <c r="E139" s="4" t="s">
        <v>296</v>
      </c>
      <c r="F139" s="4" t="s">
        <v>302</v>
      </c>
      <c r="G139" s="7">
        <v>2017</v>
      </c>
      <c r="H139" s="6">
        <v>62.7</v>
      </c>
      <c r="I139" s="4" t="s">
        <v>298</v>
      </c>
      <c r="J139" s="4" t="s">
        <v>303</v>
      </c>
      <c r="K139" s="4" t="s">
        <v>300</v>
      </c>
      <c r="L139" s="4" t="s">
        <v>301</v>
      </c>
    </row>
    <row r="140" spans="1:12" ht="28.8" x14ac:dyDescent="0.3">
      <c r="A140" s="3" t="s">
        <v>78</v>
      </c>
      <c r="B140" s="4" t="s">
        <v>20</v>
      </c>
      <c r="C140" s="4" t="s">
        <v>76</v>
      </c>
      <c r="D140" s="4" t="s">
        <v>240</v>
      </c>
      <c r="E140" s="4" t="s">
        <v>304</v>
      </c>
      <c r="F140" s="4" t="s">
        <v>305</v>
      </c>
      <c r="G140" s="7">
        <v>2017</v>
      </c>
      <c r="H140" s="6">
        <v>7.3</v>
      </c>
      <c r="I140" s="4" t="s">
        <v>298</v>
      </c>
      <c r="J140" s="4" t="s">
        <v>306</v>
      </c>
      <c r="K140" s="4" t="s">
        <v>300</v>
      </c>
      <c r="L140" s="4" t="s">
        <v>307</v>
      </c>
    </row>
    <row r="141" spans="1:12" ht="28.8" x14ac:dyDescent="0.3">
      <c r="A141" s="3" t="s">
        <v>78</v>
      </c>
      <c r="B141" s="4" t="s">
        <v>20</v>
      </c>
      <c r="C141" s="4" t="s">
        <v>76</v>
      </c>
      <c r="D141" s="4" t="s">
        <v>240</v>
      </c>
      <c r="E141" s="4" t="s">
        <v>308</v>
      </c>
      <c r="F141" s="4" t="s">
        <v>309</v>
      </c>
      <c r="G141" s="7">
        <v>2017</v>
      </c>
      <c r="H141" s="6">
        <v>9.1999999999999993</v>
      </c>
      <c r="I141" s="4" t="s">
        <v>298</v>
      </c>
      <c r="J141" s="4" t="s">
        <v>216</v>
      </c>
      <c r="K141" s="4" t="s">
        <v>310</v>
      </c>
      <c r="L141" s="4" t="s">
        <v>311</v>
      </c>
    </row>
    <row r="142" spans="1:12" ht="28.8" x14ac:dyDescent="0.3">
      <c r="A142" s="3" t="s">
        <v>80</v>
      </c>
      <c r="B142" s="4" t="s">
        <v>20</v>
      </c>
      <c r="C142" s="4" t="s">
        <v>76</v>
      </c>
      <c r="D142" s="4" t="s">
        <v>241</v>
      </c>
      <c r="E142" s="4" t="s">
        <v>207</v>
      </c>
      <c r="F142" s="4" t="s">
        <v>293</v>
      </c>
      <c r="G142" s="7">
        <v>2026</v>
      </c>
      <c r="H142" s="6">
        <v>12985</v>
      </c>
      <c r="I142" s="4" t="s">
        <v>294</v>
      </c>
      <c r="J142" s="4" t="s">
        <v>215</v>
      </c>
      <c r="K142" s="4" t="s">
        <v>211</v>
      </c>
      <c r="L142" s="4" t="s">
        <v>295</v>
      </c>
    </row>
    <row r="143" spans="1:12" ht="28.8" x14ac:dyDescent="0.3">
      <c r="A143" s="3" t="s">
        <v>80</v>
      </c>
      <c r="B143" s="4" t="s">
        <v>20</v>
      </c>
      <c r="C143" s="4" t="s">
        <v>76</v>
      </c>
      <c r="D143" s="4" t="s">
        <v>241</v>
      </c>
      <c r="E143" s="4" t="s">
        <v>296</v>
      </c>
      <c r="F143" s="4" t="s">
        <v>297</v>
      </c>
      <c r="G143" s="7">
        <v>2017</v>
      </c>
      <c r="H143" s="6">
        <v>88.8</v>
      </c>
      <c r="I143" s="4" t="s">
        <v>298</v>
      </c>
      <c r="J143" s="4" t="s">
        <v>299</v>
      </c>
      <c r="K143" s="4" t="s">
        <v>300</v>
      </c>
      <c r="L143" s="4" t="s">
        <v>301</v>
      </c>
    </row>
    <row r="144" spans="1:12" ht="28.8" x14ac:dyDescent="0.3">
      <c r="A144" s="3" t="s">
        <v>80</v>
      </c>
      <c r="B144" s="4" t="s">
        <v>20</v>
      </c>
      <c r="C144" s="4" t="s">
        <v>76</v>
      </c>
      <c r="D144" s="4" t="s">
        <v>241</v>
      </c>
      <c r="E144" s="4" t="s">
        <v>296</v>
      </c>
      <c r="F144" s="4" t="s">
        <v>302</v>
      </c>
      <c r="G144" s="7">
        <v>2017</v>
      </c>
      <c r="H144" s="6">
        <v>67.099999999999994</v>
      </c>
      <c r="I144" s="4" t="s">
        <v>298</v>
      </c>
      <c r="J144" s="4" t="s">
        <v>303</v>
      </c>
      <c r="K144" s="4" t="s">
        <v>300</v>
      </c>
      <c r="L144" s="4" t="s">
        <v>301</v>
      </c>
    </row>
    <row r="145" spans="1:12" ht="28.8" x14ac:dyDescent="0.3">
      <c r="A145" s="3" t="s">
        <v>80</v>
      </c>
      <c r="B145" s="4" t="s">
        <v>20</v>
      </c>
      <c r="C145" s="4" t="s">
        <v>76</v>
      </c>
      <c r="D145" s="4" t="s">
        <v>241</v>
      </c>
      <c r="E145" s="4" t="s">
        <v>304</v>
      </c>
      <c r="F145" s="4" t="s">
        <v>305</v>
      </c>
      <c r="G145" s="7">
        <v>2017</v>
      </c>
      <c r="H145" s="6">
        <v>14.5</v>
      </c>
      <c r="I145" s="4" t="s">
        <v>298</v>
      </c>
      <c r="J145" s="4" t="s">
        <v>306</v>
      </c>
      <c r="K145" s="4" t="s">
        <v>300</v>
      </c>
      <c r="L145" s="4" t="s">
        <v>307</v>
      </c>
    </row>
    <row r="146" spans="1:12" ht="28.8" x14ac:dyDescent="0.3">
      <c r="A146" s="3" t="s">
        <v>80</v>
      </c>
      <c r="B146" s="4" t="s">
        <v>20</v>
      </c>
      <c r="C146" s="4" t="s">
        <v>76</v>
      </c>
      <c r="D146" s="4" t="s">
        <v>241</v>
      </c>
      <c r="E146" s="4" t="s">
        <v>308</v>
      </c>
      <c r="F146" s="4" t="s">
        <v>309</v>
      </c>
      <c r="G146" s="7">
        <v>2017</v>
      </c>
      <c r="H146" s="6">
        <v>8.1999999999999993</v>
      </c>
      <c r="I146" s="4" t="s">
        <v>298</v>
      </c>
      <c r="J146" s="4" t="s">
        <v>216</v>
      </c>
      <c r="K146" s="4" t="s">
        <v>310</v>
      </c>
      <c r="L146" s="4" t="s">
        <v>311</v>
      </c>
    </row>
    <row r="147" spans="1:12" ht="28.8" x14ac:dyDescent="0.3">
      <c r="A147" s="3" t="s">
        <v>82</v>
      </c>
      <c r="B147" s="4" t="s">
        <v>20</v>
      </c>
      <c r="C147" s="4" t="s">
        <v>83</v>
      </c>
      <c r="D147" s="4" t="s">
        <v>83</v>
      </c>
      <c r="E147" s="4" t="s">
        <v>207</v>
      </c>
      <c r="F147" s="4" t="s">
        <v>293</v>
      </c>
      <c r="G147" s="7">
        <v>2026</v>
      </c>
      <c r="H147" s="6">
        <v>12825</v>
      </c>
      <c r="I147" s="4" t="s">
        <v>294</v>
      </c>
      <c r="J147" s="4" t="s">
        <v>215</v>
      </c>
      <c r="K147" s="4" t="s">
        <v>211</v>
      </c>
      <c r="L147" s="4" t="s">
        <v>295</v>
      </c>
    </row>
    <row r="148" spans="1:12" ht="28.8" x14ac:dyDescent="0.3">
      <c r="A148" s="3" t="s">
        <v>82</v>
      </c>
      <c r="B148" s="4" t="s">
        <v>20</v>
      </c>
      <c r="C148" s="4" t="s">
        <v>83</v>
      </c>
      <c r="D148" s="4" t="s">
        <v>83</v>
      </c>
      <c r="E148" s="4" t="s">
        <v>296</v>
      </c>
      <c r="F148" s="4" t="s">
        <v>297</v>
      </c>
      <c r="G148" s="7">
        <v>2017</v>
      </c>
      <c r="H148" s="6">
        <v>59.9</v>
      </c>
      <c r="I148" s="4" t="s">
        <v>298</v>
      </c>
      <c r="J148" s="4" t="s">
        <v>299</v>
      </c>
      <c r="K148" s="4" t="s">
        <v>300</v>
      </c>
      <c r="L148" s="4" t="s">
        <v>301</v>
      </c>
    </row>
    <row r="149" spans="1:12" ht="28.8" x14ac:dyDescent="0.3">
      <c r="A149" s="3" t="s">
        <v>82</v>
      </c>
      <c r="B149" s="4" t="s">
        <v>20</v>
      </c>
      <c r="C149" s="4" t="s">
        <v>83</v>
      </c>
      <c r="D149" s="4" t="s">
        <v>83</v>
      </c>
      <c r="E149" s="4" t="s">
        <v>296</v>
      </c>
      <c r="F149" s="4" t="s">
        <v>302</v>
      </c>
      <c r="G149" s="7">
        <v>2017</v>
      </c>
      <c r="H149" s="6">
        <v>22.7</v>
      </c>
      <c r="I149" s="4" t="s">
        <v>298</v>
      </c>
      <c r="J149" s="4" t="s">
        <v>303</v>
      </c>
      <c r="K149" s="4" t="s">
        <v>300</v>
      </c>
      <c r="L149" s="4" t="s">
        <v>301</v>
      </c>
    </row>
    <row r="150" spans="1:12" ht="28.8" x14ac:dyDescent="0.3">
      <c r="A150" s="3" t="s">
        <v>82</v>
      </c>
      <c r="B150" s="4" t="s">
        <v>20</v>
      </c>
      <c r="C150" s="4" t="s">
        <v>83</v>
      </c>
      <c r="D150" s="4" t="s">
        <v>83</v>
      </c>
      <c r="E150" s="4" t="s">
        <v>304</v>
      </c>
      <c r="F150" s="4" t="s">
        <v>305</v>
      </c>
      <c r="G150" s="7">
        <v>2017</v>
      </c>
      <c r="H150" s="6">
        <v>2.2000000000000002</v>
      </c>
      <c r="I150" s="4" t="s">
        <v>298</v>
      </c>
      <c r="J150" s="4" t="s">
        <v>306</v>
      </c>
      <c r="K150" s="4" t="s">
        <v>300</v>
      </c>
      <c r="L150" s="4" t="s">
        <v>307</v>
      </c>
    </row>
    <row r="151" spans="1:12" ht="28.8" x14ac:dyDescent="0.3">
      <c r="A151" s="3" t="s">
        <v>82</v>
      </c>
      <c r="B151" s="4" t="s">
        <v>20</v>
      </c>
      <c r="C151" s="4" t="s">
        <v>83</v>
      </c>
      <c r="D151" s="4" t="s">
        <v>83</v>
      </c>
      <c r="E151" s="4" t="s">
        <v>308</v>
      </c>
      <c r="F151" s="4" t="s">
        <v>309</v>
      </c>
      <c r="G151" s="7">
        <v>2017</v>
      </c>
      <c r="H151" s="6">
        <v>14.7</v>
      </c>
      <c r="I151" s="4" t="s">
        <v>298</v>
      </c>
      <c r="J151" s="4" t="s">
        <v>216</v>
      </c>
      <c r="K151" s="4" t="s">
        <v>310</v>
      </c>
      <c r="L151" s="4" t="s">
        <v>311</v>
      </c>
    </row>
    <row r="152" spans="1:12" ht="28.8" x14ac:dyDescent="0.3">
      <c r="A152" s="3" t="s">
        <v>85</v>
      </c>
      <c r="B152" s="4" t="s">
        <v>20</v>
      </c>
      <c r="C152" s="4" t="s">
        <v>83</v>
      </c>
      <c r="D152" s="4" t="s">
        <v>242</v>
      </c>
      <c r="E152" s="4" t="s">
        <v>207</v>
      </c>
      <c r="F152" s="4" t="s">
        <v>293</v>
      </c>
      <c r="G152" s="7">
        <v>2026</v>
      </c>
      <c r="H152" s="6">
        <v>4530</v>
      </c>
      <c r="I152" s="4" t="s">
        <v>294</v>
      </c>
      <c r="J152" s="4" t="s">
        <v>215</v>
      </c>
      <c r="K152" s="4" t="s">
        <v>211</v>
      </c>
      <c r="L152" s="4" t="s">
        <v>295</v>
      </c>
    </row>
    <row r="153" spans="1:12" ht="28.8" x14ac:dyDescent="0.3">
      <c r="A153" s="3" t="s">
        <v>85</v>
      </c>
      <c r="B153" s="4" t="s">
        <v>20</v>
      </c>
      <c r="C153" s="4" t="s">
        <v>83</v>
      </c>
      <c r="D153" s="4" t="s">
        <v>242</v>
      </c>
      <c r="E153" s="4" t="s">
        <v>296</v>
      </c>
      <c r="F153" s="4" t="s">
        <v>297</v>
      </c>
      <c r="G153" s="7">
        <v>2017</v>
      </c>
      <c r="H153" s="6">
        <v>42.9</v>
      </c>
      <c r="I153" s="4" t="s">
        <v>298</v>
      </c>
      <c r="J153" s="4" t="s">
        <v>299</v>
      </c>
      <c r="K153" s="4" t="s">
        <v>300</v>
      </c>
      <c r="L153" s="4" t="s">
        <v>301</v>
      </c>
    </row>
    <row r="154" spans="1:12" ht="28.8" x14ac:dyDescent="0.3">
      <c r="A154" s="3" t="s">
        <v>85</v>
      </c>
      <c r="B154" s="4" t="s">
        <v>20</v>
      </c>
      <c r="C154" s="4" t="s">
        <v>83</v>
      </c>
      <c r="D154" s="4" t="s">
        <v>242</v>
      </c>
      <c r="E154" s="4" t="s">
        <v>296</v>
      </c>
      <c r="F154" s="4" t="s">
        <v>302</v>
      </c>
      <c r="G154" s="7">
        <v>2017</v>
      </c>
      <c r="H154" s="6">
        <v>12.6</v>
      </c>
      <c r="I154" s="4" t="s">
        <v>298</v>
      </c>
      <c r="J154" s="4" t="s">
        <v>303</v>
      </c>
      <c r="K154" s="4" t="s">
        <v>300</v>
      </c>
      <c r="L154" s="4" t="s">
        <v>301</v>
      </c>
    </row>
    <row r="155" spans="1:12" ht="28.8" x14ac:dyDescent="0.3">
      <c r="A155" s="3" t="s">
        <v>85</v>
      </c>
      <c r="B155" s="4" t="s">
        <v>20</v>
      </c>
      <c r="C155" s="4" t="s">
        <v>83</v>
      </c>
      <c r="D155" s="4" t="s">
        <v>242</v>
      </c>
      <c r="E155" s="4" t="s">
        <v>304</v>
      </c>
      <c r="F155" s="4" t="s">
        <v>305</v>
      </c>
      <c r="G155" s="7">
        <v>2017</v>
      </c>
      <c r="H155" s="6">
        <v>2.4</v>
      </c>
      <c r="I155" s="4" t="s">
        <v>298</v>
      </c>
      <c r="J155" s="4" t="s">
        <v>306</v>
      </c>
      <c r="K155" s="4" t="s">
        <v>300</v>
      </c>
      <c r="L155" s="4" t="s">
        <v>307</v>
      </c>
    </row>
    <row r="156" spans="1:12" ht="28.8" x14ac:dyDescent="0.3">
      <c r="A156" s="3" t="s">
        <v>85</v>
      </c>
      <c r="B156" s="4" t="s">
        <v>20</v>
      </c>
      <c r="C156" s="4" t="s">
        <v>83</v>
      </c>
      <c r="D156" s="4" t="s">
        <v>242</v>
      </c>
      <c r="E156" s="4" t="s">
        <v>308</v>
      </c>
      <c r="F156" s="4" t="s">
        <v>309</v>
      </c>
      <c r="G156" s="7">
        <v>2017</v>
      </c>
      <c r="H156" s="6">
        <v>16.399999999999999</v>
      </c>
      <c r="I156" s="4" t="s">
        <v>298</v>
      </c>
      <c r="J156" s="4" t="s">
        <v>216</v>
      </c>
      <c r="K156" s="4" t="s">
        <v>310</v>
      </c>
      <c r="L156" s="4" t="s">
        <v>311</v>
      </c>
    </row>
    <row r="157" spans="1:12" ht="28.8" x14ac:dyDescent="0.3">
      <c r="A157" s="3" t="s">
        <v>87</v>
      </c>
      <c r="B157" s="4" t="s">
        <v>20</v>
      </c>
      <c r="C157" s="4" t="s">
        <v>83</v>
      </c>
      <c r="D157" s="4" t="s">
        <v>243</v>
      </c>
      <c r="E157" s="4" t="s">
        <v>207</v>
      </c>
      <c r="F157" s="4" t="s">
        <v>293</v>
      </c>
      <c r="G157" s="7">
        <v>2026</v>
      </c>
      <c r="H157" s="6">
        <v>6937</v>
      </c>
      <c r="I157" s="4" t="s">
        <v>294</v>
      </c>
      <c r="J157" s="4" t="s">
        <v>215</v>
      </c>
      <c r="K157" s="4" t="s">
        <v>211</v>
      </c>
      <c r="L157" s="4" t="s">
        <v>295</v>
      </c>
    </row>
    <row r="158" spans="1:12" ht="28.8" x14ac:dyDescent="0.3">
      <c r="A158" s="3" t="s">
        <v>87</v>
      </c>
      <c r="B158" s="4" t="s">
        <v>20</v>
      </c>
      <c r="C158" s="4" t="s">
        <v>83</v>
      </c>
      <c r="D158" s="4" t="s">
        <v>243</v>
      </c>
      <c r="E158" s="4" t="s">
        <v>296</v>
      </c>
      <c r="F158" s="4" t="s">
        <v>297</v>
      </c>
      <c r="G158" s="7">
        <v>2017</v>
      </c>
      <c r="H158" s="6">
        <v>66.8</v>
      </c>
      <c r="I158" s="4" t="s">
        <v>298</v>
      </c>
      <c r="J158" s="4" t="s">
        <v>299</v>
      </c>
      <c r="K158" s="4" t="s">
        <v>300</v>
      </c>
      <c r="L158" s="4" t="s">
        <v>301</v>
      </c>
    </row>
    <row r="159" spans="1:12" ht="28.8" x14ac:dyDescent="0.3">
      <c r="A159" s="3" t="s">
        <v>87</v>
      </c>
      <c r="B159" s="4" t="s">
        <v>20</v>
      </c>
      <c r="C159" s="4" t="s">
        <v>83</v>
      </c>
      <c r="D159" s="4" t="s">
        <v>243</v>
      </c>
      <c r="E159" s="4" t="s">
        <v>296</v>
      </c>
      <c r="F159" s="4" t="s">
        <v>302</v>
      </c>
      <c r="G159" s="7">
        <v>2017</v>
      </c>
      <c r="H159" s="6">
        <v>13.7</v>
      </c>
      <c r="I159" s="4" t="s">
        <v>298</v>
      </c>
      <c r="J159" s="4" t="s">
        <v>303</v>
      </c>
      <c r="K159" s="4" t="s">
        <v>300</v>
      </c>
      <c r="L159" s="4" t="s">
        <v>301</v>
      </c>
    </row>
    <row r="160" spans="1:12" ht="28.8" x14ac:dyDescent="0.3">
      <c r="A160" s="3" t="s">
        <v>87</v>
      </c>
      <c r="B160" s="4" t="s">
        <v>20</v>
      </c>
      <c r="C160" s="4" t="s">
        <v>83</v>
      </c>
      <c r="D160" s="4" t="s">
        <v>243</v>
      </c>
      <c r="E160" s="4" t="s">
        <v>304</v>
      </c>
      <c r="F160" s="4" t="s">
        <v>305</v>
      </c>
      <c r="G160" s="7">
        <v>2017</v>
      </c>
      <c r="H160" s="6">
        <v>4.5</v>
      </c>
      <c r="I160" s="4" t="s">
        <v>298</v>
      </c>
      <c r="J160" s="4" t="s">
        <v>306</v>
      </c>
      <c r="K160" s="4" t="s">
        <v>300</v>
      </c>
      <c r="L160" s="4" t="s">
        <v>307</v>
      </c>
    </row>
    <row r="161" spans="1:12" ht="28.8" x14ac:dyDescent="0.3">
      <c r="A161" s="3" t="s">
        <v>87</v>
      </c>
      <c r="B161" s="4" t="s">
        <v>20</v>
      </c>
      <c r="C161" s="4" t="s">
        <v>83</v>
      </c>
      <c r="D161" s="4" t="s">
        <v>243</v>
      </c>
      <c r="E161" s="4" t="s">
        <v>308</v>
      </c>
      <c r="F161" s="4" t="s">
        <v>309</v>
      </c>
      <c r="G161" s="7">
        <v>2017</v>
      </c>
      <c r="H161" s="6">
        <v>12.4</v>
      </c>
      <c r="I161" s="4" t="s">
        <v>298</v>
      </c>
      <c r="J161" s="4" t="s">
        <v>216</v>
      </c>
      <c r="K161" s="4" t="s">
        <v>310</v>
      </c>
      <c r="L161" s="4" t="s">
        <v>311</v>
      </c>
    </row>
    <row r="162" spans="1:12" ht="28.8" x14ac:dyDescent="0.3">
      <c r="A162" s="3" t="s">
        <v>89</v>
      </c>
      <c r="B162" s="4" t="s">
        <v>20</v>
      </c>
      <c r="C162" s="4" t="s">
        <v>83</v>
      </c>
      <c r="D162" s="4" t="s">
        <v>244</v>
      </c>
      <c r="E162" s="4" t="s">
        <v>207</v>
      </c>
      <c r="F162" s="4" t="s">
        <v>293</v>
      </c>
      <c r="G162" s="7">
        <v>2026</v>
      </c>
      <c r="H162" s="6">
        <v>6257</v>
      </c>
      <c r="I162" s="4" t="s">
        <v>294</v>
      </c>
      <c r="J162" s="4" t="s">
        <v>215</v>
      </c>
      <c r="K162" s="4" t="s">
        <v>211</v>
      </c>
      <c r="L162" s="4" t="s">
        <v>295</v>
      </c>
    </row>
    <row r="163" spans="1:12" ht="28.8" x14ac:dyDescent="0.3">
      <c r="A163" s="3" t="s">
        <v>89</v>
      </c>
      <c r="B163" s="4" t="s">
        <v>20</v>
      </c>
      <c r="C163" s="4" t="s">
        <v>83</v>
      </c>
      <c r="D163" s="4" t="s">
        <v>244</v>
      </c>
      <c r="E163" s="4" t="s">
        <v>296</v>
      </c>
      <c r="F163" s="4" t="s">
        <v>297</v>
      </c>
      <c r="G163" s="7">
        <v>2017</v>
      </c>
      <c r="H163" s="6">
        <v>45.6</v>
      </c>
      <c r="I163" s="4" t="s">
        <v>298</v>
      </c>
      <c r="J163" s="4" t="s">
        <v>299</v>
      </c>
      <c r="K163" s="4" t="s">
        <v>300</v>
      </c>
      <c r="L163" s="4" t="s">
        <v>301</v>
      </c>
    </row>
    <row r="164" spans="1:12" ht="28.8" x14ac:dyDescent="0.3">
      <c r="A164" s="3" t="s">
        <v>89</v>
      </c>
      <c r="B164" s="4" t="s">
        <v>20</v>
      </c>
      <c r="C164" s="4" t="s">
        <v>83</v>
      </c>
      <c r="D164" s="4" t="s">
        <v>244</v>
      </c>
      <c r="E164" s="4" t="s">
        <v>296</v>
      </c>
      <c r="F164" s="4" t="s">
        <v>302</v>
      </c>
      <c r="G164" s="7">
        <v>2017</v>
      </c>
      <c r="H164" s="6">
        <v>5.7</v>
      </c>
      <c r="I164" s="4" t="s">
        <v>298</v>
      </c>
      <c r="J164" s="4" t="s">
        <v>303</v>
      </c>
      <c r="K164" s="4" t="s">
        <v>300</v>
      </c>
      <c r="L164" s="4" t="s">
        <v>301</v>
      </c>
    </row>
    <row r="165" spans="1:12" ht="28.8" x14ac:dyDescent="0.3">
      <c r="A165" s="3" t="s">
        <v>89</v>
      </c>
      <c r="B165" s="4" t="s">
        <v>20</v>
      </c>
      <c r="C165" s="4" t="s">
        <v>83</v>
      </c>
      <c r="D165" s="4" t="s">
        <v>244</v>
      </c>
      <c r="E165" s="4" t="s">
        <v>304</v>
      </c>
      <c r="F165" s="4" t="s">
        <v>305</v>
      </c>
      <c r="G165" s="7">
        <v>2017</v>
      </c>
      <c r="H165" s="6">
        <v>0.1</v>
      </c>
      <c r="I165" s="4" t="s">
        <v>298</v>
      </c>
      <c r="J165" s="4" t="s">
        <v>306</v>
      </c>
      <c r="K165" s="4" t="s">
        <v>300</v>
      </c>
      <c r="L165" s="4" t="s">
        <v>307</v>
      </c>
    </row>
    <row r="166" spans="1:12" ht="28.8" x14ac:dyDescent="0.3">
      <c r="A166" s="3" t="s">
        <v>89</v>
      </c>
      <c r="B166" s="4" t="s">
        <v>20</v>
      </c>
      <c r="C166" s="4" t="s">
        <v>83</v>
      </c>
      <c r="D166" s="4" t="s">
        <v>244</v>
      </c>
      <c r="E166" s="4" t="s">
        <v>308</v>
      </c>
      <c r="F166" s="4" t="s">
        <v>309</v>
      </c>
      <c r="G166" s="7">
        <v>2017</v>
      </c>
      <c r="H166" s="6">
        <v>12.2</v>
      </c>
      <c r="I166" s="4" t="s">
        <v>298</v>
      </c>
      <c r="J166" s="4" t="s">
        <v>216</v>
      </c>
      <c r="K166" s="4" t="s">
        <v>310</v>
      </c>
      <c r="L166" s="4" t="s">
        <v>311</v>
      </c>
    </row>
    <row r="167" spans="1:12" ht="28.8" x14ac:dyDescent="0.3">
      <c r="A167" s="3" t="s">
        <v>91</v>
      </c>
      <c r="B167" s="4" t="s">
        <v>20</v>
      </c>
      <c r="C167" s="4" t="s">
        <v>92</v>
      </c>
      <c r="D167" s="4" t="s">
        <v>92</v>
      </c>
      <c r="E167" s="4" t="s">
        <v>207</v>
      </c>
      <c r="F167" s="4" t="s">
        <v>293</v>
      </c>
      <c r="G167" s="7">
        <v>2026</v>
      </c>
      <c r="H167" s="6">
        <v>27767</v>
      </c>
      <c r="I167" s="4" t="s">
        <v>294</v>
      </c>
      <c r="J167" s="4" t="s">
        <v>215</v>
      </c>
      <c r="K167" s="4" t="s">
        <v>211</v>
      </c>
      <c r="L167" s="4" t="s">
        <v>295</v>
      </c>
    </row>
    <row r="168" spans="1:12" ht="28.8" x14ac:dyDescent="0.3">
      <c r="A168" s="3" t="s">
        <v>91</v>
      </c>
      <c r="B168" s="4" t="s">
        <v>20</v>
      </c>
      <c r="C168" s="4" t="s">
        <v>92</v>
      </c>
      <c r="D168" s="4" t="s">
        <v>92</v>
      </c>
      <c r="E168" s="4" t="s">
        <v>296</v>
      </c>
      <c r="F168" s="4" t="s">
        <v>297</v>
      </c>
      <c r="G168" s="7">
        <v>2017</v>
      </c>
      <c r="H168" s="6">
        <v>77.599999999999994</v>
      </c>
      <c r="I168" s="4" t="s">
        <v>298</v>
      </c>
      <c r="J168" s="4" t="s">
        <v>299</v>
      </c>
      <c r="K168" s="4" t="s">
        <v>300</v>
      </c>
      <c r="L168" s="4" t="s">
        <v>301</v>
      </c>
    </row>
    <row r="169" spans="1:12" ht="28.8" x14ac:dyDescent="0.3">
      <c r="A169" s="3" t="s">
        <v>91</v>
      </c>
      <c r="B169" s="4" t="s">
        <v>20</v>
      </c>
      <c r="C169" s="4" t="s">
        <v>92</v>
      </c>
      <c r="D169" s="4" t="s">
        <v>92</v>
      </c>
      <c r="E169" s="4" t="s">
        <v>296</v>
      </c>
      <c r="F169" s="4" t="s">
        <v>302</v>
      </c>
      <c r="G169" s="7">
        <v>2017</v>
      </c>
      <c r="H169" s="6">
        <v>49.8</v>
      </c>
      <c r="I169" s="4" t="s">
        <v>298</v>
      </c>
      <c r="J169" s="4" t="s">
        <v>303</v>
      </c>
      <c r="K169" s="4" t="s">
        <v>300</v>
      </c>
      <c r="L169" s="4" t="s">
        <v>301</v>
      </c>
    </row>
    <row r="170" spans="1:12" ht="28.8" x14ac:dyDescent="0.3">
      <c r="A170" s="3" t="s">
        <v>91</v>
      </c>
      <c r="B170" s="4" t="s">
        <v>20</v>
      </c>
      <c r="C170" s="4" t="s">
        <v>92</v>
      </c>
      <c r="D170" s="4" t="s">
        <v>92</v>
      </c>
      <c r="E170" s="4" t="s">
        <v>304</v>
      </c>
      <c r="F170" s="4" t="s">
        <v>305</v>
      </c>
      <c r="G170" s="7">
        <v>2017</v>
      </c>
      <c r="H170" s="6">
        <v>5.0999999999999996</v>
      </c>
      <c r="I170" s="4" t="s">
        <v>298</v>
      </c>
      <c r="J170" s="4" t="s">
        <v>306</v>
      </c>
      <c r="K170" s="4" t="s">
        <v>300</v>
      </c>
      <c r="L170" s="4" t="s">
        <v>307</v>
      </c>
    </row>
    <row r="171" spans="1:12" ht="28.8" x14ac:dyDescent="0.3">
      <c r="A171" s="3" t="s">
        <v>91</v>
      </c>
      <c r="B171" s="4" t="s">
        <v>20</v>
      </c>
      <c r="C171" s="4" t="s">
        <v>92</v>
      </c>
      <c r="D171" s="4" t="s">
        <v>92</v>
      </c>
      <c r="E171" s="4" t="s">
        <v>308</v>
      </c>
      <c r="F171" s="4" t="s">
        <v>309</v>
      </c>
      <c r="G171" s="7">
        <v>2017</v>
      </c>
      <c r="H171" s="6">
        <v>11.8</v>
      </c>
      <c r="I171" s="4" t="s">
        <v>298</v>
      </c>
      <c r="J171" s="4" t="s">
        <v>216</v>
      </c>
      <c r="K171" s="4" t="s">
        <v>310</v>
      </c>
      <c r="L171" s="4" t="s">
        <v>311</v>
      </c>
    </row>
    <row r="172" spans="1:12" ht="28.8" x14ac:dyDescent="0.3">
      <c r="A172" s="3" t="s">
        <v>94</v>
      </c>
      <c r="B172" s="4" t="s">
        <v>20</v>
      </c>
      <c r="C172" s="4" t="s">
        <v>92</v>
      </c>
      <c r="D172" s="4" t="s">
        <v>245</v>
      </c>
      <c r="E172" s="4" t="s">
        <v>207</v>
      </c>
      <c r="F172" s="4" t="s">
        <v>293</v>
      </c>
      <c r="G172" s="7">
        <v>2026</v>
      </c>
      <c r="H172" s="6">
        <v>10776</v>
      </c>
      <c r="I172" s="4" t="s">
        <v>294</v>
      </c>
      <c r="J172" s="4" t="s">
        <v>215</v>
      </c>
      <c r="K172" s="4" t="s">
        <v>211</v>
      </c>
      <c r="L172" s="4" t="s">
        <v>295</v>
      </c>
    </row>
    <row r="173" spans="1:12" ht="28.8" x14ac:dyDescent="0.3">
      <c r="A173" s="3" t="s">
        <v>94</v>
      </c>
      <c r="B173" s="4" t="s">
        <v>20</v>
      </c>
      <c r="C173" s="4" t="s">
        <v>92</v>
      </c>
      <c r="D173" s="4" t="s">
        <v>245</v>
      </c>
      <c r="E173" s="4" t="s">
        <v>296</v>
      </c>
      <c r="F173" s="4" t="s">
        <v>297</v>
      </c>
      <c r="G173" s="7">
        <v>2017</v>
      </c>
      <c r="H173" s="6">
        <v>52.3</v>
      </c>
      <c r="I173" s="4" t="s">
        <v>298</v>
      </c>
      <c r="J173" s="4" t="s">
        <v>299</v>
      </c>
      <c r="K173" s="4" t="s">
        <v>300</v>
      </c>
      <c r="L173" s="4" t="s">
        <v>301</v>
      </c>
    </row>
    <row r="174" spans="1:12" ht="28.8" x14ac:dyDescent="0.3">
      <c r="A174" s="3" t="s">
        <v>94</v>
      </c>
      <c r="B174" s="4" t="s">
        <v>20</v>
      </c>
      <c r="C174" s="4" t="s">
        <v>92</v>
      </c>
      <c r="D174" s="4" t="s">
        <v>245</v>
      </c>
      <c r="E174" s="4" t="s">
        <v>296</v>
      </c>
      <c r="F174" s="4" t="s">
        <v>302</v>
      </c>
      <c r="G174" s="7">
        <v>2017</v>
      </c>
      <c r="H174" s="6">
        <v>10</v>
      </c>
      <c r="I174" s="4" t="s">
        <v>298</v>
      </c>
      <c r="J174" s="4" t="s">
        <v>303</v>
      </c>
      <c r="K174" s="4" t="s">
        <v>300</v>
      </c>
      <c r="L174" s="4" t="s">
        <v>301</v>
      </c>
    </row>
    <row r="175" spans="1:12" ht="28.8" x14ac:dyDescent="0.3">
      <c r="A175" s="3" t="s">
        <v>94</v>
      </c>
      <c r="B175" s="4" t="s">
        <v>20</v>
      </c>
      <c r="C175" s="4" t="s">
        <v>92</v>
      </c>
      <c r="D175" s="4" t="s">
        <v>245</v>
      </c>
      <c r="E175" s="4" t="s">
        <v>304</v>
      </c>
      <c r="F175" s="4" t="s">
        <v>305</v>
      </c>
      <c r="G175" s="7">
        <v>2017</v>
      </c>
      <c r="H175" s="6">
        <v>0.4</v>
      </c>
      <c r="I175" s="4" t="s">
        <v>298</v>
      </c>
      <c r="J175" s="4" t="s">
        <v>306</v>
      </c>
      <c r="K175" s="4" t="s">
        <v>300</v>
      </c>
      <c r="L175" s="4" t="s">
        <v>307</v>
      </c>
    </row>
    <row r="176" spans="1:12" ht="28.8" x14ac:dyDescent="0.3">
      <c r="A176" s="3" t="s">
        <v>94</v>
      </c>
      <c r="B176" s="4" t="s">
        <v>20</v>
      </c>
      <c r="C176" s="4" t="s">
        <v>92</v>
      </c>
      <c r="D176" s="4" t="s">
        <v>245</v>
      </c>
      <c r="E176" s="4" t="s">
        <v>308</v>
      </c>
      <c r="F176" s="4" t="s">
        <v>309</v>
      </c>
      <c r="G176" s="7">
        <v>2017</v>
      </c>
      <c r="H176" s="6">
        <v>13.1</v>
      </c>
      <c r="I176" s="4" t="s">
        <v>298</v>
      </c>
      <c r="J176" s="4" t="s">
        <v>216</v>
      </c>
      <c r="K176" s="4" t="s">
        <v>310</v>
      </c>
      <c r="L176" s="4" t="s">
        <v>311</v>
      </c>
    </row>
    <row r="177" spans="1:12" ht="28.8" x14ac:dyDescent="0.3">
      <c r="A177" s="3" t="s">
        <v>96</v>
      </c>
      <c r="B177" s="4" t="s">
        <v>20</v>
      </c>
      <c r="C177" s="4" t="s">
        <v>92</v>
      </c>
      <c r="D177" s="4" t="s">
        <v>246</v>
      </c>
      <c r="E177" s="4" t="s">
        <v>207</v>
      </c>
      <c r="F177" s="4" t="s">
        <v>293</v>
      </c>
      <c r="G177" s="7">
        <v>2026</v>
      </c>
      <c r="H177" s="6">
        <v>2375</v>
      </c>
      <c r="I177" s="4" t="s">
        <v>294</v>
      </c>
      <c r="J177" s="4" t="s">
        <v>215</v>
      </c>
      <c r="K177" s="4" t="s">
        <v>211</v>
      </c>
      <c r="L177" s="4" t="s">
        <v>295</v>
      </c>
    </row>
    <row r="178" spans="1:12" ht="28.8" x14ac:dyDescent="0.3">
      <c r="A178" s="3" t="s">
        <v>96</v>
      </c>
      <c r="B178" s="4" t="s">
        <v>20</v>
      </c>
      <c r="C178" s="4" t="s">
        <v>92</v>
      </c>
      <c r="D178" s="4" t="s">
        <v>246</v>
      </c>
      <c r="E178" s="4" t="s">
        <v>296</v>
      </c>
      <c r="F178" s="4" t="s">
        <v>297</v>
      </c>
      <c r="G178" s="7">
        <v>2017</v>
      </c>
      <c r="H178" s="6">
        <v>31.2</v>
      </c>
      <c r="I178" s="4" t="s">
        <v>298</v>
      </c>
      <c r="J178" s="4" t="s">
        <v>299</v>
      </c>
      <c r="K178" s="4" t="s">
        <v>300</v>
      </c>
      <c r="L178" s="4" t="s">
        <v>301</v>
      </c>
    </row>
    <row r="179" spans="1:12" ht="28.8" x14ac:dyDescent="0.3">
      <c r="A179" s="3" t="s">
        <v>96</v>
      </c>
      <c r="B179" s="4" t="s">
        <v>20</v>
      </c>
      <c r="C179" s="4" t="s">
        <v>92</v>
      </c>
      <c r="D179" s="4" t="s">
        <v>246</v>
      </c>
      <c r="E179" s="4" t="s">
        <v>296</v>
      </c>
      <c r="F179" s="4" t="s">
        <v>302</v>
      </c>
      <c r="G179" s="7">
        <v>2017</v>
      </c>
      <c r="H179" s="6">
        <v>35.9</v>
      </c>
      <c r="I179" s="4" t="s">
        <v>298</v>
      </c>
      <c r="J179" s="4" t="s">
        <v>303</v>
      </c>
      <c r="K179" s="4" t="s">
        <v>300</v>
      </c>
      <c r="L179" s="4" t="s">
        <v>301</v>
      </c>
    </row>
    <row r="180" spans="1:12" ht="28.8" x14ac:dyDescent="0.3">
      <c r="A180" s="3" t="s">
        <v>96</v>
      </c>
      <c r="B180" s="4" t="s">
        <v>20</v>
      </c>
      <c r="C180" s="4" t="s">
        <v>92</v>
      </c>
      <c r="D180" s="4" t="s">
        <v>246</v>
      </c>
      <c r="E180" s="4" t="s">
        <v>304</v>
      </c>
      <c r="F180" s="4" t="s">
        <v>305</v>
      </c>
      <c r="G180" s="7">
        <v>2017</v>
      </c>
      <c r="H180" s="6">
        <v>0.1</v>
      </c>
      <c r="I180" s="4" t="s">
        <v>298</v>
      </c>
      <c r="J180" s="4" t="s">
        <v>306</v>
      </c>
      <c r="K180" s="4" t="s">
        <v>300</v>
      </c>
      <c r="L180" s="4" t="s">
        <v>307</v>
      </c>
    </row>
    <row r="181" spans="1:12" ht="28.8" x14ac:dyDescent="0.3">
      <c r="A181" s="3" t="s">
        <v>96</v>
      </c>
      <c r="B181" s="4" t="s">
        <v>20</v>
      </c>
      <c r="C181" s="4" t="s">
        <v>92</v>
      </c>
      <c r="D181" s="4" t="s">
        <v>246</v>
      </c>
      <c r="E181" s="4" t="s">
        <v>308</v>
      </c>
      <c r="F181" s="4" t="s">
        <v>309</v>
      </c>
      <c r="G181" s="7">
        <v>2017</v>
      </c>
      <c r="H181" s="6">
        <v>11.4</v>
      </c>
      <c r="I181" s="4" t="s">
        <v>298</v>
      </c>
      <c r="J181" s="4" t="s">
        <v>216</v>
      </c>
      <c r="K181" s="4" t="s">
        <v>310</v>
      </c>
      <c r="L181" s="4" t="s">
        <v>311</v>
      </c>
    </row>
    <row r="182" spans="1:12" ht="28.8" x14ac:dyDescent="0.3">
      <c r="A182" s="3" t="s">
        <v>98</v>
      </c>
      <c r="B182" s="4" t="s">
        <v>20</v>
      </c>
      <c r="C182" s="4" t="s">
        <v>92</v>
      </c>
      <c r="D182" s="4" t="s">
        <v>247</v>
      </c>
      <c r="E182" s="4" t="s">
        <v>207</v>
      </c>
      <c r="F182" s="4" t="s">
        <v>293</v>
      </c>
      <c r="G182" s="7">
        <v>2026</v>
      </c>
      <c r="H182" s="6">
        <v>3759</v>
      </c>
      <c r="I182" s="4" t="s">
        <v>294</v>
      </c>
      <c r="J182" s="4" t="s">
        <v>215</v>
      </c>
      <c r="K182" s="4" t="s">
        <v>211</v>
      </c>
      <c r="L182" s="4" t="s">
        <v>295</v>
      </c>
    </row>
    <row r="183" spans="1:12" ht="28.8" x14ac:dyDescent="0.3">
      <c r="A183" s="3" t="s">
        <v>98</v>
      </c>
      <c r="B183" s="4" t="s">
        <v>20</v>
      </c>
      <c r="C183" s="4" t="s">
        <v>92</v>
      </c>
      <c r="D183" s="4" t="s">
        <v>247</v>
      </c>
      <c r="E183" s="4" t="s">
        <v>296</v>
      </c>
      <c r="F183" s="4" t="s">
        <v>297</v>
      </c>
      <c r="G183" s="7">
        <v>2017</v>
      </c>
      <c r="H183" s="6">
        <v>70.7</v>
      </c>
      <c r="I183" s="4" t="s">
        <v>298</v>
      </c>
      <c r="J183" s="4" t="s">
        <v>299</v>
      </c>
      <c r="K183" s="4" t="s">
        <v>300</v>
      </c>
      <c r="L183" s="4" t="s">
        <v>301</v>
      </c>
    </row>
    <row r="184" spans="1:12" ht="28.8" x14ac:dyDescent="0.3">
      <c r="A184" s="3" t="s">
        <v>98</v>
      </c>
      <c r="B184" s="4" t="s">
        <v>20</v>
      </c>
      <c r="C184" s="4" t="s">
        <v>92</v>
      </c>
      <c r="D184" s="4" t="s">
        <v>247</v>
      </c>
      <c r="E184" s="4" t="s">
        <v>296</v>
      </c>
      <c r="F184" s="4" t="s">
        <v>302</v>
      </c>
      <c r="G184" s="7">
        <v>2017</v>
      </c>
      <c r="H184" s="6">
        <v>60.3</v>
      </c>
      <c r="I184" s="4" t="s">
        <v>298</v>
      </c>
      <c r="J184" s="4" t="s">
        <v>303</v>
      </c>
      <c r="K184" s="4" t="s">
        <v>300</v>
      </c>
      <c r="L184" s="4" t="s">
        <v>301</v>
      </c>
    </row>
    <row r="185" spans="1:12" ht="28.8" x14ac:dyDescent="0.3">
      <c r="A185" s="3" t="s">
        <v>98</v>
      </c>
      <c r="B185" s="4" t="s">
        <v>20</v>
      </c>
      <c r="C185" s="4" t="s">
        <v>92</v>
      </c>
      <c r="D185" s="4" t="s">
        <v>247</v>
      </c>
      <c r="E185" s="4" t="s">
        <v>304</v>
      </c>
      <c r="F185" s="4" t="s">
        <v>305</v>
      </c>
      <c r="G185" s="7">
        <v>2017</v>
      </c>
      <c r="H185" s="6">
        <v>0.9</v>
      </c>
      <c r="I185" s="4" t="s">
        <v>298</v>
      </c>
      <c r="J185" s="4" t="s">
        <v>306</v>
      </c>
      <c r="K185" s="4" t="s">
        <v>300</v>
      </c>
      <c r="L185" s="4" t="s">
        <v>307</v>
      </c>
    </row>
    <row r="186" spans="1:12" ht="28.8" x14ac:dyDescent="0.3">
      <c r="A186" s="3" t="s">
        <v>98</v>
      </c>
      <c r="B186" s="4" t="s">
        <v>20</v>
      </c>
      <c r="C186" s="4" t="s">
        <v>92</v>
      </c>
      <c r="D186" s="4" t="s">
        <v>247</v>
      </c>
      <c r="E186" s="4" t="s">
        <v>308</v>
      </c>
      <c r="F186" s="4" t="s">
        <v>309</v>
      </c>
      <c r="G186" s="7">
        <v>2017</v>
      </c>
      <c r="H186" s="6">
        <v>11.9</v>
      </c>
      <c r="I186" s="4" t="s">
        <v>298</v>
      </c>
      <c r="J186" s="4" t="s">
        <v>216</v>
      </c>
      <c r="K186" s="4" t="s">
        <v>310</v>
      </c>
      <c r="L186" s="4" t="s">
        <v>311</v>
      </c>
    </row>
    <row r="187" spans="1:12" ht="28.8" x14ac:dyDescent="0.3">
      <c r="A187" s="3" t="s">
        <v>100</v>
      </c>
      <c r="B187" s="4" t="s">
        <v>20</v>
      </c>
      <c r="C187" s="4" t="s">
        <v>92</v>
      </c>
      <c r="D187" s="4" t="s">
        <v>248</v>
      </c>
      <c r="E187" s="4" t="s">
        <v>207</v>
      </c>
      <c r="F187" s="4" t="s">
        <v>293</v>
      </c>
      <c r="G187" s="7">
        <v>2026</v>
      </c>
      <c r="H187" s="6">
        <v>646</v>
      </c>
      <c r="I187" s="4" t="s">
        <v>294</v>
      </c>
      <c r="J187" s="4" t="s">
        <v>215</v>
      </c>
      <c r="K187" s="4" t="s">
        <v>211</v>
      </c>
      <c r="L187" s="4" t="s">
        <v>295</v>
      </c>
    </row>
    <row r="188" spans="1:12" ht="28.8" x14ac:dyDescent="0.3">
      <c r="A188" s="3" t="s">
        <v>100</v>
      </c>
      <c r="B188" s="4" t="s">
        <v>20</v>
      </c>
      <c r="C188" s="4" t="s">
        <v>92</v>
      </c>
      <c r="D188" s="4" t="s">
        <v>248</v>
      </c>
      <c r="E188" s="4" t="s">
        <v>296</v>
      </c>
      <c r="F188" s="4" t="s">
        <v>297</v>
      </c>
      <c r="G188" s="7">
        <v>2017</v>
      </c>
      <c r="H188" s="6">
        <v>72.400000000000006</v>
      </c>
      <c r="I188" s="4" t="s">
        <v>298</v>
      </c>
      <c r="J188" s="4" t="s">
        <v>299</v>
      </c>
      <c r="K188" s="4" t="s">
        <v>300</v>
      </c>
      <c r="L188" s="4" t="s">
        <v>301</v>
      </c>
    </row>
    <row r="189" spans="1:12" ht="28.8" x14ac:dyDescent="0.3">
      <c r="A189" s="3" t="s">
        <v>100</v>
      </c>
      <c r="B189" s="4" t="s">
        <v>20</v>
      </c>
      <c r="C189" s="4" t="s">
        <v>92</v>
      </c>
      <c r="D189" s="4" t="s">
        <v>248</v>
      </c>
      <c r="E189" s="4" t="s">
        <v>296</v>
      </c>
      <c r="F189" s="4" t="s">
        <v>302</v>
      </c>
      <c r="G189" s="7">
        <v>2017</v>
      </c>
      <c r="H189" s="6">
        <v>14</v>
      </c>
      <c r="I189" s="4" t="s">
        <v>298</v>
      </c>
      <c r="J189" s="4" t="s">
        <v>303</v>
      </c>
      <c r="K189" s="4" t="s">
        <v>300</v>
      </c>
      <c r="L189" s="4" t="s">
        <v>301</v>
      </c>
    </row>
    <row r="190" spans="1:12" ht="28.8" x14ac:dyDescent="0.3">
      <c r="A190" s="3" t="s">
        <v>100</v>
      </c>
      <c r="B190" s="4" t="s">
        <v>20</v>
      </c>
      <c r="C190" s="4" t="s">
        <v>92</v>
      </c>
      <c r="D190" s="4" t="s">
        <v>248</v>
      </c>
      <c r="E190" s="4" t="s">
        <v>304</v>
      </c>
      <c r="F190" s="4" t="s">
        <v>305</v>
      </c>
      <c r="G190" s="7">
        <v>2017</v>
      </c>
      <c r="H190" s="6">
        <v>0</v>
      </c>
      <c r="I190" s="4" t="s">
        <v>298</v>
      </c>
      <c r="J190" s="4" t="s">
        <v>306</v>
      </c>
      <c r="K190" s="4" t="s">
        <v>300</v>
      </c>
      <c r="L190" s="4" t="s">
        <v>307</v>
      </c>
    </row>
    <row r="191" spans="1:12" ht="28.8" x14ac:dyDescent="0.3">
      <c r="A191" s="3" t="s">
        <v>100</v>
      </c>
      <c r="B191" s="4" t="s">
        <v>20</v>
      </c>
      <c r="C191" s="4" t="s">
        <v>92</v>
      </c>
      <c r="D191" s="4" t="s">
        <v>248</v>
      </c>
      <c r="E191" s="4" t="s">
        <v>308</v>
      </c>
      <c r="F191" s="4" t="s">
        <v>309</v>
      </c>
      <c r="G191" s="7">
        <v>2017</v>
      </c>
      <c r="H191" s="6">
        <v>9</v>
      </c>
      <c r="I191" s="4" t="s">
        <v>298</v>
      </c>
      <c r="J191" s="4" t="s">
        <v>216</v>
      </c>
      <c r="K191" s="4" t="s">
        <v>310</v>
      </c>
      <c r="L191" s="4" t="s">
        <v>311</v>
      </c>
    </row>
    <row r="192" spans="1:12" ht="28.8" x14ac:dyDescent="0.3">
      <c r="A192" s="3" t="s">
        <v>102</v>
      </c>
      <c r="B192" s="4" t="s">
        <v>20</v>
      </c>
      <c r="C192" s="4" t="s">
        <v>92</v>
      </c>
      <c r="D192" s="4" t="s">
        <v>249</v>
      </c>
      <c r="E192" s="4" t="s">
        <v>207</v>
      </c>
      <c r="F192" s="4" t="s">
        <v>293</v>
      </c>
      <c r="G192" s="7">
        <v>2026</v>
      </c>
      <c r="H192" s="6">
        <v>2748</v>
      </c>
      <c r="I192" s="4" t="s">
        <v>294</v>
      </c>
      <c r="J192" s="4" t="s">
        <v>215</v>
      </c>
      <c r="K192" s="4" t="s">
        <v>211</v>
      </c>
      <c r="L192" s="4" t="s">
        <v>295</v>
      </c>
    </row>
    <row r="193" spans="1:12" ht="28.8" x14ac:dyDescent="0.3">
      <c r="A193" s="3" t="s">
        <v>102</v>
      </c>
      <c r="B193" s="4" t="s">
        <v>20</v>
      </c>
      <c r="C193" s="4" t="s">
        <v>92</v>
      </c>
      <c r="D193" s="4" t="s">
        <v>249</v>
      </c>
      <c r="E193" s="4" t="s">
        <v>296</v>
      </c>
      <c r="F193" s="4" t="s">
        <v>297</v>
      </c>
      <c r="G193" s="7">
        <v>2017</v>
      </c>
      <c r="H193" s="6">
        <v>90.7</v>
      </c>
      <c r="I193" s="4" t="s">
        <v>298</v>
      </c>
      <c r="J193" s="4" t="s">
        <v>299</v>
      </c>
      <c r="K193" s="4" t="s">
        <v>300</v>
      </c>
      <c r="L193" s="4" t="s">
        <v>301</v>
      </c>
    </row>
    <row r="194" spans="1:12" ht="28.8" x14ac:dyDescent="0.3">
      <c r="A194" s="3" t="s">
        <v>102</v>
      </c>
      <c r="B194" s="4" t="s">
        <v>20</v>
      </c>
      <c r="C194" s="4" t="s">
        <v>92</v>
      </c>
      <c r="D194" s="4" t="s">
        <v>249</v>
      </c>
      <c r="E194" s="4" t="s">
        <v>296</v>
      </c>
      <c r="F194" s="4" t="s">
        <v>302</v>
      </c>
      <c r="G194" s="7">
        <v>2017</v>
      </c>
      <c r="H194" s="6">
        <v>33.1</v>
      </c>
      <c r="I194" s="4" t="s">
        <v>298</v>
      </c>
      <c r="J194" s="4" t="s">
        <v>303</v>
      </c>
      <c r="K194" s="4" t="s">
        <v>300</v>
      </c>
      <c r="L194" s="4" t="s">
        <v>301</v>
      </c>
    </row>
    <row r="195" spans="1:12" ht="28.8" x14ac:dyDescent="0.3">
      <c r="A195" s="3" t="s">
        <v>102</v>
      </c>
      <c r="B195" s="4" t="s">
        <v>20</v>
      </c>
      <c r="C195" s="4" t="s">
        <v>92</v>
      </c>
      <c r="D195" s="4" t="s">
        <v>249</v>
      </c>
      <c r="E195" s="4" t="s">
        <v>304</v>
      </c>
      <c r="F195" s="4" t="s">
        <v>305</v>
      </c>
      <c r="G195" s="7">
        <v>2017</v>
      </c>
      <c r="H195" s="6">
        <v>1</v>
      </c>
      <c r="I195" s="4" t="s">
        <v>298</v>
      </c>
      <c r="J195" s="4" t="s">
        <v>306</v>
      </c>
      <c r="K195" s="4" t="s">
        <v>300</v>
      </c>
      <c r="L195" s="4" t="s">
        <v>307</v>
      </c>
    </row>
    <row r="196" spans="1:12" ht="28.8" x14ac:dyDescent="0.3">
      <c r="A196" s="3" t="s">
        <v>102</v>
      </c>
      <c r="B196" s="4" t="s">
        <v>20</v>
      </c>
      <c r="C196" s="4" t="s">
        <v>92</v>
      </c>
      <c r="D196" s="4" t="s">
        <v>249</v>
      </c>
      <c r="E196" s="4" t="s">
        <v>308</v>
      </c>
      <c r="F196" s="4" t="s">
        <v>309</v>
      </c>
      <c r="G196" s="7">
        <v>2017</v>
      </c>
      <c r="H196" s="6">
        <v>10.7</v>
      </c>
      <c r="I196" s="4" t="s">
        <v>298</v>
      </c>
      <c r="J196" s="4" t="s">
        <v>216</v>
      </c>
      <c r="K196" s="4" t="s">
        <v>310</v>
      </c>
      <c r="L196" s="4" t="s">
        <v>311</v>
      </c>
    </row>
    <row r="197" spans="1:12" ht="28.8" x14ac:dyDescent="0.3">
      <c r="A197" s="3" t="s">
        <v>104</v>
      </c>
      <c r="B197" s="4" t="s">
        <v>20</v>
      </c>
      <c r="C197" s="4" t="s">
        <v>92</v>
      </c>
      <c r="D197" s="4" t="s">
        <v>250</v>
      </c>
      <c r="E197" s="4" t="s">
        <v>207</v>
      </c>
      <c r="F197" s="4" t="s">
        <v>293</v>
      </c>
      <c r="G197" s="7">
        <v>2026</v>
      </c>
      <c r="H197" s="6">
        <v>503</v>
      </c>
      <c r="I197" s="4" t="s">
        <v>294</v>
      </c>
      <c r="J197" s="4" t="s">
        <v>215</v>
      </c>
      <c r="K197" s="4" t="s">
        <v>211</v>
      </c>
      <c r="L197" s="4" t="s">
        <v>295</v>
      </c>
    </row>
    <row r="198" spans="1:12" ht="28.8" x14ac:dyDescent="0.3">
      <c r="A198" s="3" t="s">
        <v>104</v>
      </c>
      <c r="B198" s="4" t="s">
        <v>20</v>
      </c>
      <c r="C198" s="4" t="s">
        <v>92</v>
      </c>
      <c r="D198" s="4" t="s">
        <v>250</v>
      </c>
      <c r="E198" s="4" t="s">
        <v>296</v>
      </c>
      <c r="F198" s="4" t="s">
        <v>297</v>
      </c>
      <c r="G198" s="7">
        <v>2017</v>
      </c>
      <c r="H198" s="6">
        <v>70.5</v>
      </c>
      <c r="I198" s="4" t="s">
        <v>298</v>
      </c>
      <c r="J198" s="4" t="s">
        <v>299</v>
      </c>
      <c r="K198" s="4" t="s">
        <v>300</v>
      </c>
      <c r="L198" s="4" t="s">
        <v>301</v>
      </c>
    </row>
    <row r="199" spans="1:12" ht="28.8" x14ac:dyDescent="0.3">
      <c r="A199" s="3" t="s">
        <v>104</v>
      </c>
      <c r="B199" s="4" t="s">
        <v>20</v>
      </c>
      <c r="C199" s="4" t="s">
        <v>92</v>
      </c>
      <c r="D199" s="4" t="s">
        <v>250</v>
      </c>
      <c r="E199" s="4" t="s">
        <v>296</v>
      </c>
      <c r="F199" s="4" t="s">
        <v>302</v>
      </c>
      <c r="G199" s="7">
        <v>2017</v>
      </c>
      <c r="H199" s="6">
        <v>23.3</v>
      </c>
      <c r="I199" s="4" t="s">
        <v>298</v>
      </c>
      <c r="J199" s="4" t="s">
        <v>303</v>
      </c>
      <c r="K199" s="4" t="s">
        <v>300</v>
      </c>
      <c r="L199" s="4" t="s">
        <v>301</v>
      </c>
    </row>
    <row r="200" spans="1:12" ht="28.8" x14ac:dyDescent="0.3">
      <c r="A200" s="3" t="s">
        <v>104</v>
      </c>
      <c r="B200" s="4" t="s">
        <v>20</v>
      </c>
      <c r="C200" s="4" t="s">
        <v>92</v>
      </c>
      <c r="D200" s="4" t="s">
        <v>250</v>
      </c>
      <c r="E200" s="4" t="s">
        <v>304</v>
      </c>
      <c r="F200" s="4" t="s">
        <v>305</v>
      </c>
      <c r="G200" s="7">
        <v>2017</v>
      </c>
      <c r="H200" s="6">
        <v>1.4</v>
      </c>
      <c r="I200" s="4" t="s">
        <v>298</v>
      </c>
      <c r="J200" s="4" t="s">
        <v>306</v>
      </c>
      <c r="K200" s="4" t="s">
        <v>300</v>
      </c>
      <c r="L200" s="4" t="s">
        <v>307</v>
      </c>
    </row>
    <row r="201" spans="1:12" ht="28.8" x14ac:dyDescent="0.3">
      <c r="A201" s="3" t="s">
        <v>104</v>
      </c>
      <c r="B201" s="4" t="s">
        <v>20</v>
      </c>
      <c r="C201" s="4" t="s">
        <v>92</v>
      </c>
      <c r="D201" s="4" t="s">
        <v>250</v>
      </c>
      <c r="E201" s="4" t="s">
        <v>308</v>
      </c>
      <c r="F201" s="4" t="s">
        <v>309</v>
      </c>
      <c r="G201" s="7">
        <v>2017</v>
      </c>
      <c r="H201" s="6">
        <v>14.7</v>
      </c>
      <c r="I201" s="4" t="s">
        <v>298</v>
      </c>
      <c r="J201" s="4" t="s">
        <v>216</v>
      </c>
      <c r="K201" s="4" t="s">
        <v>310</v>
      </c>
      <c r="L201" s="4" t="s">
        <v>311</v>
      </c>
    </row>
    <row r="202" spans="1:12" ht="28.8" x14ac:dyDescent="0.3">
      <c r="A202" s="3" t="s">
        <v>106</v>
      </c>
      <c r="B202" s="4" t="s">
        <v>20</v>
      </c>
      <c r="C202" s="4" t="s">
        <v>92</v>
      </c>
      <c r="D202" s="4" t="s">
        <v>251</v>
      </c>
      <c r="E202" s="4" t="s">
        <v>207</v>
      </c>
      <c r="F202" s="4" t="s">
        <v>293</v>
      </c>
      <c r="G202" s="7">
        <v>2026</v>
      </c>
      <c r="H202" s="6">
        <v>6643</v>
      </c>
      <c r="I202" s="4" t="s">
        <v>294</v>
      </c>
      <c r="J202" s="4" t="s">
        <v>215</v>
      </c>
      <c r="K202" s="4" t="s">
        <v>211</v>
      </c>
      <c r="L202" s="4" t="s">
        <v>295</v>
      </c>
    </row>
    <row r="203" spans="1:12" ht="28.8" x14ac:dyDescent="0.3">
      <c r="A203" s="3" t="s">
        <v>106</v>
      </c>
      <c r="B203" s="4" t="s">
        <v>20</v>
      </c>
      <c r="C203" s="4" t="s">
        <v>92</v>
      </c>
      <c r="D203" s="4" t="s">
        <v>251</v>
      </c>
      <c r="E203" s="4" t="s">
        <v>296</v>
      </c>
      <c r="F203" s="4" t="s">
        <v>297</v>
      </c>
      <c r="G203" s="7">
        <v>2017</v>
      </c>
      <c r="H203" s="6">
        <v>76.7</v>
      </c>
      <c r="I203" s="4" t="s">
        <v>298</v>
      </c>
      <c r="J203" s="4" t="s">
        <v>299</v>
      </c>
      <c r="K203" s="4" t="s">
        <v>300</v>
      </c>
      <c r="L203" s="4" t="s">
        <v>301</v>
      </c>
    </row>
    <row r="204" spans="1:12" ht="28.8" x14ac:dyDescent="0.3">
      <c r="A204" s="3" t="s">
        <v>106</v>
      </c>
      <c r="B204" s="4" t="s">
        <v>20</v>
      </c>
      <c r="C204" s="4" t="s">
        <v>92</v>
      </c>
      <c r="D204" s="4" t="s">
        <v>251</v>
      </c>
      <c r="E204" s="4" t="s">
        <v>296</v>
      </c>
      <c r="F204" s="4" t="s">
        <v>302</v>
      </c>
      <c r="G204" s="7">
        <v>2017</v>
      </c>
      <c r="H204" s="6">
        <v>21</v>
      </c>
      <c r="I204" s="4" t="s">
        <v>298</v>
      </c>
      <c r="J204" s="4" t="s">
        <v>303</v>
      </c>
      <c r="K204" s="4" t="s">
        <v>300</v>
      </c>
      <c r="L204" s="4" t="s">
        <v>301</v>
      </c>
    </row>
    <row r="205" spans="1:12" ht="28.8" x14ac:dyDescent="0.3">
      <c r="A205" s="3" t="s">
        <v>106</v>
      </c>
      <c r="B205" s="4" t="s">
        <v>20</v>
      </c>
      <c r="C205" s="4" t="s">
        <v>92</v>
      </c>
      <c r="D205" s="4" t="s">
        <v>251</v>
      </c>
      <c r="E205" s="4" t="s">
        <v>304</v>
      </c>
      <c r="F205" s="4" t="s">
        <v>305</v>
      </c>
      <c r="G205" s="7">
        <v>2017</v>
      </c>
      <c r="H205" s="6">
        <v>0.3</v>
      </c>
      <c r="I205" s="4" t="s">
        <v>298</v>
      </c>
      <c r="J205" s="4" t="s">
        <v>306</v>
      </c>
      <c r="K205" s="4" t="s">
        <v>300</v>
      </c>
      <c r="L205" s="4" t="s">
        <v>307</v>
      </c>
    </row>
    <row r="206" spans="1:12" ht="28.8" x14ac:dyDescent="0.3">
      <c r="A206" s="3" t="s">
        <v>106</v>
      </c>
      <c r="B206" s="4" t="s">
        <v>20</v>
      </c>
      <c r="C206" s="4" t="s">
        <v>92</v>
      </c>
      <c r="D206" s="4" t="s">
        <v>251</v>
      </c>
      <c r="E206" s="4" t="s">
        <v>308</v>
      </c>
      <c r="F206" s="4" t="s">
        <v>309</v>
      </c>
      <c r="G206" s="7">
        <v>2017</v>
      </c>
      <c r="H206" s="6">
        <v>11.1</v>
      </c>
      <c r="I206" s="4" t="s">
        <v>298</v>
      </c>
      <c r="J206" s="4" t="s">
        <v>216</v>
      </c>
      <c r="K206" s="4" t="s">
        <v>310</v>
      </c>
      <c r="L206" s="4" t="s">
        <v>311</v>
      </c>
    </row>
    <row r="207" spans="1:12" ht="28.8" x14ac:dyDescent="0.3">
      <c r="A207" s="3" t="s">
        <v>108</v>
      </c>
      <c r="B207" s="4" t="s">
        <v>20</v>
      </c>
      <c r="C207" s="4" t="s">
        <v>92</v>
      </c>
      <c r="D207" s="4" t="s">
        <v>252</v>
      </c>
      <c r="E207" s="4" t="s">
        <v>207</v>
      </c>
      <c r="F207" s="4" t="s">
        <v>293</v>
      </c>
      <c r="G207" s="7">
        <v>2026</v>
      </c>
      <c r="H207" s="6">
        <v>7273</v>
      </c>
      <c r="I207" s="4" t="s">
        <v>294</v>
      </c>
      <c r="J207" s="4" t="s">
        <v>215</v>
      </c>
      <c r="K207" s="4" t="s">
        <v>211</v>
      </c>
      <c r="L207" s="4" t="s">
        <v>295</v>
      </c>
    </row>
    <row r="208" spans="1:12" ht="28.8" x14ac:dyDescent="0.3">
      <c r="A208" s="3" t="s">
        <v>108</v>
      </c>
      <c r="B208" s="4" t="s">
        <v>20</v>
      </c>
      <c r="C208" s="4" t="s">
        <v>92</v>
      </c>
      <c r="D208" s="4" t="s">
        <v>252</v>
      </c>
      <c r="E208" s="4" t="s">
        <v>296</v>
      </c>
      <c r="F208" s="4" t="s">
        <v>297</v>
      </c>
      <c r="G208" s="7">
        <v>2017</v>
      </c>
      <c r="H208" s="6">
        <v>79.900000000000006</v>
      </c>
      <c r="I208" s="4" t="s">
        <v>298</v>
      </c>
      <c r="J208" s="4" t="s">
        <v>299</v>
      </c>
      <c r="K208" s="4" t="s">
        <v>300</v>
      </c>
      <c r="L208" s="4" t="s">
        <v>301</v>
      </c>
    </row>
    <row r="209" spans="1:12" ht="28.8" x14ac:dyDescent="0.3">
      <c r="A209" s="3" t="s">
        <v>108</v>
      </c>
      <c r="B209" s="4" t="s">
        <v>20</v>
      </c>
      <c r="C209" s="4" t="s">
        <v>92</v>
      </c>
      <c r="D209" s="4" t="s">
        <v>252</v>
      </c>
      <c r="E209" s="4" t="s">
        <v>296</v>
      </c>
      <c r="F209" s="4" t="s">
        <v>302</v>
      </c>
      <c r="G209" s="7">
        <v>2017</v>
      </c>
      <c r="H209" s="6">
        <v>27</v>
      </c>
      <c r="I209" s="4" t="s">
        <v>298</v>
      </c>
      <c r="J209" s="4" t="s">
        <v>303</v>
      </c>
      <c r="K209" s="4" t="s">
        <v>300</v>
      </c>
      <c r="L209" s="4" t="s">
        <v>301</v>
      </c>
    </row>
    <row r="210" spans="1:12" ht="28.8" x14ac:dyDescent="0.3">
      <c r="A210" s="3" t="s">
        <v>108</v>
      </c>
      <c r="B210" s="4" t="s">
        <v>20</v>
      </c>
      <c r="C210" s="4" t="s">
        <v>92</v>
      </c>
      <c r="D210" s="4" t="s">
        <v>252</v>
      </c>
      <c r="E210" s="4" t="s">
        <v>304</v>
      </c>
      <c r="F210" s="4" t="s">
        <v>305</v>
      </c>
      <c r="G210" s="7">
        <v>2017</v>
      </c>
      <c r="H210" s="6">
        <v>1.7</v>
      </c>
      <c r="I210" s="4" t="s">
        <v>298</v>
      </c>
      <c r="J210" s="4" t="s">
        <v>306</v>
      </c>
      <c r="K210" s="4" t="s">
        <v>300</v>
      </c>
      <c r="L210" s="4" t="s">
        <v>307</v>
      </c>
    </row>
    <row r="211" spans="1:12" ht="28.8" x14ac:dyDescent="0.3">
      <c r="A211" s="3" t="s">
        <v>108</v>
      </c>
      <c r="B211" s="4" t="s">
        <v>20</v>
      </c>
      <c r="C211" s="4" t="s">
        <v>92</v>
      </c>
      <c r="D211" s="4" t="s">
        <v>252</v>
      </c>
      <c r="E211" s="4" t="s">
        <v>308</v>
      </c>
      <c r="F211" s="4" t="s">
        <v>309</v>
      </c>
      <c r="G211" s="7">
        <v>2017</v>
      </c>
      <c r="H211" s="6">
        <v>22.2</v>
      </c>
      <c r="I211" s="4" t="s">
        <v>298</v>
      </c>
      <c r="J211" s="4" t="s">
        <v>216</v>
      </c>
      <c r="K211" s="4" t="s">
        <v>310</v>
      </c>
      <c r="L211" s="4" t="s">
        <v>311</v>
      </c>
    </row>
    <row r="212" spans="1:12" ht="28.8" x14ac:dyDescent="0.3">
      <c r="A212" s="3" t="s">
        <v>110</v>
      </c>
      <c r="B212" s="4" t="s">
        <v>20</v>
      </c>
      <c r="C212" s="4" t="s">
        <v>92</v>
      </c>
      <c r="D212" s="4" t="s">
        <v>253</v>
      </c>
      <c r="E212" s="4" t="s">
        <v>207</v>
      </c>
      <c r="F212" s="4" t="s">
        <v>293</v>
      </c>
      <c r="G212" s="7">
        <v>2026</v>
      </c>
      <c r="H212" s="6">
        <v>21733</v>
      </c>
      <c r="I212" s="4" t="s">
        <v>294</v>
      </c>
      <c r="J212" s="4" t="s">
        <v>215</v>
      </c>
      <c r="K212" s="4" t="s">
        <v>211</v>
      </c>
      <c r="L212" s="4" t="s">
        <v>295</v>
      </c>
    </row>
    <row r="213" spans="1:12" ht="28.8" x14ac:dyDescent="0.3">
      <c r="A213" s="3" t="s">
        <v>110</v>
      </c>
      <c r="B213" s="4" t="s">
        <v>20</v>
      </c>
      <c r="C213" s="4" t="s">
        <v>92</v>
      </c>
      <c r="D213" s="4" t="s">
        <v>253</v>
      </c>
      <c r="E213" s="4" t="s">
        <v>296</v>
      </c>
      <c r="F213" s="4" t="s">
        <v>297</v>
      </c>
      <c r="G213" s="7">
        <v>2017</v>
      </c>
      <c r="H213" s="6">
        <v>72.900000000000006</v>
      </c>
      <c r="I213" s="4" t="s">
        <v>298</v>
      </c>
      <c r="J213" s="4" t="s">
        <v>299</v>
      </c>
      <c r="K213" s="4" t="s">
        <v>300</v>
      </c>
      <c r="L213" s="4" t="s">
        <v>301</v>
      </c>
    </row>
    <row r="214" spans="1:12" ht="28.8" x14ac:dyDescent="0.3">
      <c r="A214" s="3" t="s">
        <v>110</v>
      </c>
      <c r="B214" s="4" t="s">
        <v>20</v>
      </c>
      <c r="C214" s="4" t="s">
        <v>92</v>
      </c>
      <c r="D214" s="4" t="s">
        <v>253</v>
      </c>
      <c r="E214" s="4" t="s">
        <v>296</v>
      </c>
      <c r="F214" s="4" t="s">
        <v>302</v>
      </c>
      <c r="G214" s="7">
        <v>2017</v>
      </c>
      <c r="H214" s="6">
        <v>21.5</v>
      </c>
      <c r="I214" s="4" t="s">
        <v>298</v>
      </c>
      <c r="J214" s="4" t="s">
        <v>303</v>
      </c>
      <c r="K214" s="4" t="s">
        <v>300</v>
      </c>
      <c r="L214" s="4" t="s">
        <v>301</v>
      </c>
    </row>
    <row r="215" spans="1:12" ht="28.8" x14ac:dyDescent="0.3">
      <c r="A215" s="3" t="s">
        <v>110</v>
      </c>
      <c r="B215" s="4" t="s">
        <v>20</v>
      </c>
      <c r="C215" s="4" t="s">
        <v>92</v>
      </c>
      <c r="D215" s="4" t="s">
        <v>253</v>
      </c>
      <c r="E215" s="4" t="s">
        <v>304</v>
      </c>
      <c r="F215" s="4" t="s">
        <v>305</v>
      </c>
      <c r="G215" s="7">
        <v>2017</v>
      </c>
      <c r="H215" s="6">
        <v>0.6</v>
      </c>
      <c r="I215" s="4" t="s">
        <v>298</v>
      </c>
      <c r="J215" s="4" t="s">
        <v>306</v>
      </c>
      <c r="K215" s="4" t="s">
        <v>300</v>
      </c>
      <c r="L215" s="4" t="s">
        <v>307</v>
      </c>
    </row>
    <row r="216" spans="1:12" ht="28.8" x14ac:dyDescent="0.3">
      <c r="A216" s="3" t="s">
        <v>110</v>
      </c>
      <c r="B216" s="4" t="s">
        <v>20</v>
      </c>
      <c r="C216" s="4" t="s">
        <v>92</v>
      </c>
      <c r="D216" s="4" t="s">
        <v>253</v>
      </c>
      <c r="E216" s="4" t="s">
        <v>308</v>
      </c>
      <c r="F216" s="4" t="s">
        <v>309</v>
      </c>
      <c r="G216" s="7">
        <v>2017</v>
      </c>
      <c r="H216" s="6">
        <v>15.9</v>
      </c>
      <c r="I216" s="4" t="s">
        <v>298</v>
      </c>
      <c r="J216" s="4" t="s">
        <v>216</v>
      </c>
      <c r="K216" s="4" t="s">
        <v>310</v>
      </c>
      <c r="L216" s="4" t="s">
        <v>311</v>
      </c>
    </row>
    <row r="217" spans="1:12" ht="28.8" x14ac:dyDescent="0.3">
      <c r="A217" s="3" t="s">
        <v>112</v>
      </c>
      <c r="B217" s="4" t="s">
        <v>20</v>
      </c>
      <c r="C217" s="4" t="s">
        <v>113</v>
      </c>
      <c r="D217" s="4" t="s">
        <v>254</v>
      </c>
      <c r="E217" s="4" t="s">
        <v>207</v>
      </c>
      <c r="F217" s="4" t="s">
        <v>293</v>
      </c>
      <c r="G217" s="7">
        <v>2026</v>
      </c>
      <c r="H217" s="6">
        <v>20658</v>
      </c>
      <c r="I217" s="4" t="s">
        <v>294</v>
      </c>
      <c r="J217" s="4" t="s">
        <v>215</v>
      </c>
      <c r="K217" s="4" t="s">
        <v>211</v>
      </c>
      <c r="L217" s="4" t="s">
        <v>295</v>
      </c>
    </row>
    <row r="218" spans="1:12" ht="28.8" x14ac:dyDescent="0.3">
      <c r="A218" s="3" t="s">
        <v>112</v>
      </c>
      <c r="B218" s="4" t="s">
        <v>20</v>
      </c>
      <c r="C218" s="4" t="s">
        <v>113</v>
      </c>
      <c r="D218" s="4" t="s">
        <v>254</v>
      </c>
      <c r="E218" s="4" t="s">
        <v>296</v>
      </c>
      <c r="F218" s="4" t="s">
        <v>297</v>
      </c>
      <c r="G218" s="7">
        <v>2017</v>
      </c>
      <c r="H218" s="6">
        <v>86.1</v>
      </c>
      <c r="I218" s="4" t="s">
        <v>298</v>
      </c>
      <c r="J218" s="4" t="s">
        <v>299</v>
      </c>
      <c r="K218" s="4" t="s">
        <v>300</v>
      </c>
      <c r="L218" s="4" t="s">
        <v>301</v>
      </c>
    </row>
    <row r="219" spans="1:12" ht="28.8" x14ac:dyDescent="0.3">
      <c r="A219" s="3" t="s">
        <v>112</v>
      </c>
      <c r="B219" s="4" t="s">
        <v>20</v>
      </c>
      <c r="C219" s="4" t="s">
        <v>113</v>
      </c>
      <c r="D219" s="4" t="s">
        <v>254</v>
      </c>
      <c r="E219" s="4" t="s">
        <v>296</v>
      </c>
      <c r="F219" s="4" t="s">
        <v>302</v>
      </c>
      <c r="G219" s="7">
        <v>2017</v>
      </c>
      <c r="H219" s="6">
        <v>82</v>
      </c>
      <c r="I219" s="4" t="s">
        <v>298</v>
      </c>
      <c r="J219" s="4" t="s">
        <v>303</v>
      </c>
      <c r="K219" s="4" t="s">
        <v>300</v>
      </c>
      <c r="L219" s="4" t="s">
        <v>301</v>
      </c>
    </row>
    <row r="220" spans="1:12" ht="28.8" x14ac:dyDescent="0.3">
      <c r="A220" s="3" t="s">
        <v>112</v>
      </c>
      <c r="B220" s="4" t="s">
        <v>20</v>
      </c>
      <c r="C220" s="4" t="s">
        <v>113</v>
      </c>
      <c r="D220" s="4" t="s">
        <v>254</v>
      </c>
      <c r="E220" s="4" t="s">
        <v>304</v>
      </c>
      <c r="F220" s="4" t="s">
        <v>305</v>
      </c>
      <c r="G220" s="7">
        <v>2017</v>
      </c>
      <c r="H220" s="6">
        <v>27</v>
      </c>
      <c r="I220" s="4" t="s">
        <v>298</v>
      </c>
      <c r="J220" s="4" t="s">
        <v>306</v>
      </c>
      <c r="K220" s="4" t="s">
        <v>300</v>
      </c>
      <c r="L220" s="4" t="s">
        <v>307</v>
      </c>
    </row>
    <row r="221" spans="1:12" ht="28.8" x14ac:dyDescent="0.3">
      <c r="A221" s="3" t="s">
        <v>112</v>
      </c>
      <c r="B221" s="4" t="s">
        <v>20</v>
      </c>
      <c r="C221" s="4" t="s">
        <v>113</v>
      </c>
      <c r="D221" s="4" t="s">
        <v>254</v>
      </c>
      <c r="E221" s="4" t="s">
        <v>308</v>
      </c>
      <c r="F221" s="4" t="s">
        <v>309</v>
      </c>
      <c r="G221" s="7">
        <v>2017</v>
      </c>
      <c r="H221" s="6">
        <v>4.4000000000000004</v>
      </c>
      <c r="I221" s="4" t="s">
        <v>298</v>
      </c>
      <c r="J221" s="4" t="s">
        <v>216</v>
      </c>
      <c r="K221" s="4" t="s">
        <v>310</v>
      </c>
      <c r="L221" s="4" t="s">
        <v>311</v>
      </c>
    </row>
    <row r="222" spans="1:12" ht="28.8" x14ac:dyDescent="0.3">
      <c r="A222" s="3" t="s">
        <v>115</v>
      </c>
      <c r="B222" s="4" t="s">
        <v>20</v>
      </c>
      <c r="C222" s="4" t="s">
        <v>113</v>
      </c>
      <c r="D222" s="4" t="s">
        <v>255</v>
      </c>
      <c r="E222" s="4" t="s">
        <v>207</v>
      </c>
      <c r="F222" s="4" t="s">
        <v>293</v>
      </c>
      <c r="G222" s="7">
        <v>2026</v>
      </c>
      <c r="H222" s="6">
        <v>46782</v>
      </c>
      <c r="I222" s="4" t="s">
        <v>294</v>
      </c>
      <c r="J222" s="4" t="s">
        <v>215</v>
      </c>
      <c r="K222" s="4" t="s">
        <v>211</v>
      </c>
      <c r="L222" s="4" t="s">
        <v>295</v>
      </c>
    </row>
    <row r="223" spans="1:12" ht="28.8" x14ac:dyDescent="0.3">
      <c r="A223" s="3" t="s">
        <v>115</v>
      </c>
      <c r="B223" s="4" t="s">
        <v>20</v>
      </c>
      <c r="C223" s="4" t="s">
        <v>113</v>
      </c>
      <c r="D223" s="4" t="s">
        <v>255</v>
      </c>
      <c r="E223" s="4" t="s">
        <v>296</v>
      </c>
      <c r="F223" s="4" t="s">
        <v>297</v>
      </c>
      <c r="G223" s="7">
        <v>2017</v>
      </c>
      <c r="H223" s="6">
        <v>83.9</v>
      </c>
      <c r="I223" s="4" t="s">
        <v>298</v>
      </c>
      <c r="J223" s="4" t="s">
        <v>299</v>
      </c>
      <c r="K223" s="4" t="s">
        <v>300</v>
      </c>
      <c r="L223" s="4" t="s">
        <v>301</v>
      </c>
    </row>
    <row r="224" spans="1:12" ht="28.8" x14ac:dyDescent="0.3">
      <c r="A224" s="3" t="s">
        <v>115</v>
      </c>
      <c r="B224" s="4" t="s">
        <v>20</v>
      </c>
      <c r="C224" s="4" t="s">
        <v>113</v>
      </c>
      <c r="D224" s="4" t="s">
        <v>255</v>
      </c>
      <c r="E224" s="4" t="s">
        <v>296</v>
      </c>
      <c r="F224" s="4" t="s">
        <v>302</v>
      </c>
      <c r="G224" s="7">
        <v>2017</v>
      </c>
      <c r="H224" s="6">
        <v>61.7</v>
      </c>
      <c r="I224" s="4" t="s">
        <v>298</v>
      </c>
      <c r="J224" s="4" t="s">
        <v>303</v>
      </c>
      <c r="K224" s="4" t="s">
        <v>300</v>
      </c>
      <c r="L224" s="4" t="s">
        <v>301</v>
      </c>
    </row>
    <row r="225" spans="1:12" ht="28.8" x14ac:dyDescent="0.3">
      <c r="A225" s="3" t="s">
        <v>115</v>
      </c>
      <c r="B225" s="4" t="s">
        <v>20</v>
      </c>
      <c r="C225" s="4" t="s">
        <v>113</v>
      </c>
      <c r="D225" s="4" t="s">
        <v>255</v>
      </c>
      <c r="E225" s="4" t="s">
        <v>304</v>
      </c>
      <c r="F225" s="4" t="s">
        <v>305</v>
      </c>
      <c r="G225" s="7">
        <v>2017</v>
      </c>
      <c r="H225" s="6">
        <v>19.5</v>
      </c>
      <c r="I225" s="4" t="s">
        <v>298</v>
      </c>
      <c r="J225" s="4" t="s">
        <v>306</v>
      </c>
      <c r="K225" s="4" t="s">
        <v>300</v>
      </c>
      <c r="L225" s="4" t="s">
        <v>307</v>
      </c>
    </row>
    <row r="226" spans="1:12" ht="28.8" x14ac:dyDescent="0.3">
      <c r="A226" s="3" t="s">
        <v>115</v>
      </c>
      <c r="B226" s="4" t="s">
        <v>20</v>
      </c>
      <c r="C226" s="4" t="s">
        <v>113</v>
      </c>
      <c r="D226" s="4" t="s">
        <v>255</v>
      </c>
      <c r="E226" s="4" t="s">
        <v>308</v>
      </c>
      <c r="F226" s="4" t="s">
        <v>309</v>
      </c>
      <c r="G226" s="7">
        <v>2017</v>
      </c>
      <c r="H226" s="6">
        <v>7.4</v>
      </c>
      <c r="I226" s="4" t="s">
        <v>298</v>
      </c>
      <c r="J226" s="4" t="s">
        <v>216</v>
      </c>
      <c r="K226" s="4" t="s">
        <v>310</v>
      </c>
      <c r="L226" s="4" t="s">
        <v>311</v>
      </c>
    </row>
    <row r="227" spans="1:12" ht="28.8" x14ac:dyDescent="0.3">
      <c r="A227" s="3" t="s">
        <v>117</v>
      </c>
      <c r="B227" s="4" t="s">
        <v>20</v>
      </c>
      <c r="C227" s="4" t="s">
        <v>113</v>
      </c>
      <c r="D227" s="4" t="s">
        <v>256</v>
      </c>
      <c r="E227" s="4" t="s">
        <v>207</v>
      </c>
      <c r="F227" s="4" t="s">
        <v>293</v>
      </c>
      <c r="G227" s="7">
        <v>2026</v>
      </c>
      <c r="H227" s="6">
        <v>5150</v>
      </c>
      <c r="I227" s="4" t="s">
        <v>294</v>
      </c>
      <c r="J227" s="4" t="s">
        <v>215</v>
      </c>
      <c r="K227" s="4" t="s">
        <v>211</v>
      </c>
      <c r="L227" s="4" t="s">
        <v>295</v>
      </c>
    </row>
    <row r="228" spans="1:12" ht="28.8" x14ac:dyDescent="0.3">
      <c r="A228" s="3" t="s">
        <v>117</v>
      </c>
      <c r="B228" s="4" t="s">
        <v>20</v>
      </c>
      <c r="C228" s="4" t="s">
        <v>113</v>
      </c>
      <c r="D228" s="4" t="s">
        <v>256</v>
      </c>
      <c r="E228" s="4" t="s">
        <v>296</v>
      </c>
      <c r="F228" s="4" t="s">
        <v>297</v>
      </c>
      <c r="G228" s="7">
        <v>2017</v>
      </c>
      <c r="H228" s="6">
        <v>83.4</v>
      </c>
      <c r="I228" s="4" t="s">
        <v>298</v>
      </c>
      <c r="J228" s="4" t="s">
        <v>299</v>
      </c>
      <c r="K228" s="4" t="s">
        <v>300</v>
      </c>
      <c r="L228" s="4" t="s">
        <v>301</v>
      </c>
    </row>
    <row r="229" spans="1:12" ht="28.8" x14ac:dyDescent="0.3">
      <c r="A229" s="3" t="s">
        <v>117</v>
      </c>
      <c r="B229" s="4" t="s">
        <v>20</v>
      </c>
      <c r="C229" s="4" t="s">
        <v>113</v>
      </c>
      <c r="D229" s="4" t="s">
        <v>256</v>
      </c>
      <c r="E229" s="4" t="s">
        <v>296</v>
      </c>
      <c r="F229" s="4" t="s">
        <v>302</v>
      </c>
      <c r="G229" s="7">
        <v>2017</v>
      </c>
      <c r="H229" s="6">
        <v>54.7</v>
      </c>
      <c r="I229" s="4" t="s">
        <v>298</v>
      </c>
      <c r="J229" s="4" t="s">
        <v>303</v>
      </c>
      <c r="K229" s="4" t="s">
        <v>300</v>
      </c>
      <c r="L229" s="4" t="s">
        <v>301</v>
      </c>
    </row>
    <row r="230" spans="1:12" ht="28.8" x14ac:dyDescent="0.3">
      <c r="A230" s="3" t="s">
        <v>117</v>
      </c>
      <c r="B230" s="4" t="s">
        <v>20</v>
      </c>
      <c r="C230" s="4" t="s">
        <v>113</v>
      </c>
      <c r="D230" s="4" t="s">
        <v>256</v>
      </c>
      <c r="E230" s="4" t="s">
        <v>304</v>
      </c>
      <c r="F230" s="4" t="s">
        <v>305</v>
      </c>
      <c r="G230" s="7">
        <v>2017</v>
      </c>
      <c r="H230" s="6">
        <v>26.3</v>
      </c>
      <c r="I230" s="4" t="s">
        <v>298</v>
      </c>
      <c r="J230" s="4" t="s">
        <v>306</v>
      </c>
      <c r="K230" s="4" t="s">
        <v>300</v>
      </c>
      <c r="L230" s="4" t="s">
        <v>307</v>
      </c>
    </row>
    <row r="231" spans="1:12" ht="28.8" x14ac:dyDescent="0.3">
      <c r="A231" s="3" t="s">
        <v>117</v>
      </c>
      <c r="B231" s="4" t="s">
        <v>20</v>
      </c>
      <c r="C231" s="4" t="s">
        <v>113</v>
      </c>
      <c r="D231" s="4" t="s">
        <v>256</v>
      </c>
      <c r="E231" s="4" t="s">
        <v>308</v>
      </c>
      <c r="F231" s="4" t="s">
        <v>309</v>
      </c>
      <c r="G231" s="7">
        <v>2017</v>
      </c>
      <c r="H231" s="6">
        <v>6.4</v>
      </c>
      <c r="I231" s="4" t="s">
        <v>298</v>
      </c>
      <c r="J231" s="4" t="s">
        <v>216</v>
      </c>
      <c r="K231" s="4" t="s">
        <v>310</v>
      </c>
      <c r="L231" s="4" t="s">
        <v>311</v>
      </c>
    </row>
    <row r="232" spans="1:12" ht="28.8" x14ac:dyDescent="0.3">
      <c r="A232" s="3" t="s">
        <v>119</v>
      </c>
      <c r="B232" s="4" t="s">
        <v>20</v>
      </c>
      <c r="C232" s="4" t="s">
        <v>113</v>
      </c>
      <c r="D232" s="4" t="s">
        <v>113</v>
      </c>
      <c r="E232" s="4" t="s">
        <v>207</v>
      </c>
      <c r="F232" s="4" t="s">
        <v>293</v>
      </c>
      <c r="G232" s="7">
        <v>2026</v>
      </c>
      <c r="H232" s="6">
        <v>34726</v>
      </c>
      <c r="I232" s="4" t="s">
        <v>294</v>
      </c>
      <c r="J232" s="4" t="s">
        <v>215</v>
      </c>
      <c r="K232" s="4" t="s">
        <v>211</v>
      </c>
      <c r="L232" s="4" t="s">
        <v>295</v>
      </c>
    </row>
    <row r="233" spans="1:12" ht="28.8" x14ac:dyDescent="0.3">
      <c r="A233" s="3" t="s">
        <v>119</v>
      </c>
      <c r="B233" s="4" t="s">
        <v>20</v>
      </c>
      <c r="C233" s="4" t="s">
        <v>113</v>
      </c>
      <c r="D233" s="4" t="s">
        <v>113</v>
      </c>
      <c r="E233" s="4" t="s">
        <v>296</v>
      </c>
      <c r="F233" s="4" t="s">
        <v>297</v>
      </c>
      <c r="G233" s="7">
        <v>2017</v>
      </c>
      <c r="H233" s="6">
        <v>94.6</v>
      </c>
      <c r="I233" s="4" t="s">
        <v>298</v>
      </c>
      <c r="J233" s="4" t="s">
        <v>299</v>
      </c>
      <c r="K233" s="4" t="s">
        <v>300</v>
      </c>
      <c r="L233" s="4" t="s">
        <v>301</v>
      </c>
    </row>
    <row r="234" spans="1:12" ht="28.8" x14ac:dyDescent="0.3">
      <c r="A234" s="3" t="s">
        <v>119</v>
      </c>
      <c r="B234" s="4" t="s">
        <v>20</v>
      </c>
      <c r="C234" s="4" t="s">
        <v>113</v>
      </c>
      <c r="D234" s="4" t="s">
        <v>113</v>
      </c>
      <c r="E234" s="4" t="s">
        <v>296</v>
      </c>
      <c r="F234" s="4" t="s">
        <v>302</v>
      </c>
      <c r="G234" s="7">
        <v>2017</v>
      </c>
      <c r="H234" s="6">
        <v>90.1</v>
      </c>
      <c r="I234" s="4" t="s">
        <v>298</v>
      </c>
      <c r="J234" s="4" t="s">
        <v>303</v>
      </c>
      <c r="K234" s="4" t="s">
        <v>300</v>
      </c>
      <c r="L234" s="4" t="s">
        <v>301</v>
      </c>
    </row>
    <row r="235" spans="1:12" ht="28.8" x14ac:dyDescent="0.3">
      <c r="A235" s="3" t="s">
        <v>119</v>
      </c>
      <c r="B235" s="4" t="s">
        <v>20</v>
      </c>
      <c r="C235" s="4" t="s">
        <v>113</v>
      </c>
      <c r="D235" s="4" t="s">
        <v>113</v>
      </c>
      <c r="E235" s="4" t="s">
        <v>304</v>
      </c>
      <c r="F235" s="4" t="s">
        <v>305</v>
      </c>
      <c r="G235" s="7">
        <v>2017</v>
      </c>
      <c r="H235" s="6">
        <v>27.2</v>
      </c>
      <c r="I235" s="4" t="s">
        <v>298</v>
      </c>
      <c r="J235" s="4" t="s">
        <v>306</v>
      </c>
      <c r="K235" s="4" t="s">
        <v>300</v>
      </c>
      <c r="L235" s="4" t="s">
        <v>307</v>
      </c>
    </row>
    <row r="236" spans="1:12" ht="28.8" x14ac:dyDescent="0.3">
      <c r="A236" s="3" t="s">
        <v>119</v>
      </c>
      <c r="B236" s="4" t="s">
        <v>20</v>
      </c>
      <c r="C236" s="4" t="s">
        <v>113</v>
      </c>
      <c r="D236" s="4" t="s">
        <v>113</v>
      </c>
      <c r="E236" s="4" t="s">
        <v>308</v>
      </c>
      <c r="F236" s="4" t="s">
        <v>309</v>
      </c>
      <c r="G236" s="7">
        <v>2017</v>
      </c>
      <c r="H236" s="6">
        <v>3</v>
      </c>
      <c r="I236" s="4" t="s">
        <v>298</v>
      </c>
      <c r="J236" s="4" t="s">
        <v>216</v>
      </c>
      <c r="K236" s="4" t="s">
        <v>310</v>
      </c>
      <c r="L236" s="4" t="s">
        <v>311</v>
      </c>
    </row>
    <row r="237" spans="1:12" ht="28.8" x14ac:dyDescent="0.3">
      <c r="A237" s="3" t="s">
        <v>121</v>
      </c>
      <c r="B237" s="4" t="s">
        <v>20</v>
      </c>
      <c r="C237" s="4" t="s">
        <v>113</v>
      </c>
      <c r="D237" s="4" t="s">
        <v>257</v>
      </c>
      <c r="E237" s="4" t="s">
        <v>207</v>
      </c>
      <c r="F237" s="4" t="s">
        <v>293</v>
      </c>
      <c r="G237" s="7">
        <v>2026</v>
      </c>
      <c r="H237" s="6">
        <v>13087</v>
      </c>
      <c r="I237" s="4" t="s">
        <v>294</v>
      </c>
      <c r="J237" s="4" t="s">
        <v>215</v>
      </c>
      <c r="K237" s="4" t="s">
        <v>211</v>
      </c>
      <c r="L237" s="4" t="s">
        <v>295</v>
      </c>
    </row>
    <row r="238" spans="1:12" ht="28.8" x14ac:dyDescent="0.3">
      <c r="A238" s="3" t="s">
        <v>121</v>
      </c>
      <c r="B238" s="4" t="s">
        <v>20</v>
      </c>
      <c r="C238" s="4" t="s">
        <v>113</v>
      </c>
      <c r="D238" s="4" t="s">
        <v>257</v>
      </c>
      <c r="E238" s="4" t="s">
        <v>296</v>
      </c>
      <c r="F238" s="4" t="s">
        <v>297</v>
      </c>
      <c r="G238" s="7">
        <v>2017</v>
      </c>
      <c r="H238" s="6">
        <v>78.7</v>
      </c>
      <c r="I238" s="4" t="s">
        <v>298</v>
      </c>
      <c r="J238" s="4" t="s">
        <v>299</v>
      </c>
      <c r="K238" s="4" t="s">
        <v>300</v>
      </c>
      <c r="L238" s="4" t="s">
        <v>301</v>
      </c>
    </row>
    <row r="239" spans="1:12" ht="28.8" x14ac:dyDescent="0.3">
      <c r="A239" s="3" t="s">
        <v>121</v>
      </c>
      <c r="B239" s="4" t="s">
        <v>20</v>
      </c>
      <c r="C239" s="4" t="s">
        <v>113</v>
      </c>
      <c r="D239" s="4" t="s">
        <v>257</v>
      </c>
      <c r="E239" s="4" t="s">
        <v>296</v>
      </c>
      <c r="F239" s="4" t="s">
        <v>302</v>
      </c>
      <c r="G239" s="7">
        <v>2017</v>
      </c>
      <c r="H239" s="6">
        <v>27.7</v>
      </c>
      <c r="I239" s="4" t="s">
        <v>298</v>
      </c>
      <c r="J239" s="4" t="s">
        <v>303</v>
      </c>
      <c r="K239" s="4" t="s">
        <v>300</v>
      </c>
      <c r="L239" s="4" t="s">
        <v>301</v>
      </c>
    </row>
    <row r="240" spans="1:12" ht="28.8" x14ac:dyDescent="0.3">
      <c r="A240" s="3" t="s">
        <v>121</v>
      </c>
      <c r="B240" s="4" t="s">
        <v>20</v>
      </c>
      <c r="C240" s="4" t="s">
        <v>113</v>
      </c>
      <c r="D240" s="4" t="s">
        <v>257</v>
      </c>
      <c r="E240" s="4" t="s">
        <v>304</v>
      </c>
      <c r="F240" s="4" t="s">
        <v>305</v>
      </c>
      <c r="G240" s="7">
        <v>2017</v>
      </c>
      <c r="H240" s="6">
        <v>15.8</v>
      </c>
      <c r="I240" s="4" t="s">
        <v>298</v>
      </c>
      <c r="J240" s="4" t="s">
        <v>306</v>
      </c>
      <c r="K240" s="4" t="s">
        <v>300</v>
      </c>
      <c r="L240" s="4" t="s">
        <v>307</v>
      </c>
    </row>
    <row r="241" spans="1:12" ht="28.8" x14ac:dyDescent="0.3">
      <c r="A241" s="3" t="s">
        <v>121</v>
      </c>
      <c r="B241" s="4" t="s">
        <v>20</v>
      </c>
      <c r="C241" s="4" t="s">
        <v>113</v>
      </c>
      <c r="D241" s="4" t="s">
        <v>257</v>
      </c>
      <c r="E241" s="4" t="s">
        <v>308</v>
      </c>
      <c r="F241" s="4" t="s">
        <v>309</v>
      </c>
      <c r="G241" s="7">
        <v>2017</v>
      </c>
      <c r="H241" s="6">
        <v>8.6</v>
      </c>
      <c r="I241" s="4" t="s">
        <v>298</v>
      </c>
      <c r="J241" s="4" t="s">
        <v>216</v>
      </c>
      <c r="K241" s="4" t="s">
        <v>310</v>
      </c>
      <c r="L241" s="4" t="s">
        <v>311</v>
      </c>
    </row>
    <row r="242" spans="1:12" ht="28.8" x14ac:dyDescent="0.3">
      <c r="A242" s="3" t="s">
        <v>123</v>
      </c>
      <c r="B242" s="4" t="s">
        <v>20</v>
      </c>
      <c r="C242" s="4" t="s">
        <v>124</v>
      </c>
      <c r="D242" s="4" t="s">
        <v>258</v>
      </c>
      <c r="E242" s="4" t="s">
        <v>207</v>
      </c>
      <c r="F242" s="4" t="s">
        <v>293</v>
      </c>
      <c r="G242" s="7">
        <v>2026</v>
      </c>
      <c r="H242" s="6">
        <v>13818</v>
      </c>
      <c r="I242" s="4" t="s">
        <v>294</v>
      </c>
      <c r="J242" s="4" t="s">
        <v>215</v>
      </c>
      <c r="K242" s="4" t="s">
        <v>211</v>
      </c>
      <c r="L242" s="4" t="s">
        <v>295</v>
      </c>
    </row>
    <row r="243" spans="1:12" ht="28.8" x14ac:dyDescent="0.3">
      <c r="A243" s="3" t="s">
        <v>123</v>
      </c>
      <c r="B243" s="4" t="s">
        <v>20</v>
      </c>
      <c r="C243" s="4" t="s">
        <v>124</v>
      </c>
      <c r="D243" s="4" t="s">
        <v>258</v>
      </c>
      <c r="E243" s="4" t="s">
        <v>296</v>
      </c>
      <c r="F243" s="4" t="s">
        <v>297</v>
      </c>
      <c r="G243" s="7">
        <v>2017</v>
      </c>
      <c r="H243" s="6">
        <v>72.8</v>
      </c>
      <c r="I243" s="4" t="s">
        <v>298</v>
      </c>
      <c r="J243" s="4" t="s">
        <v>299</v>
      </c>
      <c r="K243" s="4" t="s">
        <v>300</v>
      </c>
      <c r="L243" s="4" t="s">
        <v>301</v>
      </c>
    </row>
    <row r="244" spans="1:12" ht="28.8" x14ac:dyDescent="0.3">
      <c r="A244" s="3" t="s">
        <v>123</v>
      </c>
      <c r="B244" s="4" t="s">
        <v>20</v>
      </c>
      <c r="C244" s="4" t="s">
        <v>124</v>
      </c>
      <c r="D244" s="4" t="s">
        <v>258</v>
      </c>
      <c r="E244" s="4" t="s">
        <v>296</v>
      </c>
      <c r="F244" s="4" t="s">
        <v>302</v>
      </c>
      <c r="G244" s="7">
        <v>2017</v>
      </c>
      <c r="H244" s="6">
        <v>38.700000000000003</v>
      </c>
      <c r="I244" s="4" t="s">
        <v>298</v>
      </c>
      <c r="J244" s="4" t="s">
        <v>303</v>
      </c>
      <c r="K244" s="4" t="s">
        <v>300</v>
      </c>
      <c r="L244" s="4" t="s">
        <v>301</v>
      </c>
    </row>
    <row r="245" spans="1:12" ht="28.8" x14ac:dyDescent="0.3">
      <c r="A245" s="3" t="s">
        <v>123</v>
      </c>
      <c r="B245" s="4" t="s">
        <v>20</v>
      </c>
      <c r="C245" s="4" t="s">
        <v>124</v>
      </c>
      <c r="D245" s="4" t="s">
        <v>258</v>
      </c>
      <c r="E245" s="4" t="s">
        <v>304</v>
      </c>
      <c r="F245" s="4" t="s">
        <v>305</v>
      </c>
      <c r="G245" s="7">
        <v>2017</v>
      </c>
      <c r="H245" s="6">
        <v>1.5</v>
      </c>
      <c r="I245" s="4" t="s">
        <v>298</v>
      </c>
      <c r="J245" s="4" t="s">
        <v>306</v>
      </c>
      <c r="K245" s="4" t="s">
        <v>300</v>
      </c>
      <c r="L245" s="4" t="s">
        <v>307</v>
      </c>
    </row>
    <row r="246" spans="1:12" ht="28.8" x14ac:dyDescent="0.3">
      <c r="A246" s="3" t="s">
        <v>123</v>
      </c>
      <c r="B246" s="4" t="s">
        <v>20</v>
      </c>
      <c r="C246" s="4" t="s">
        <v>124</v>
      </c>
      <c r="D246" s="4" t="s">
        <v>258</v>
      </c>
      <c r="E246" s="4" t="s">
        <v>308</v>
      </c>
      <c r="F246" s="4" t="s">
        <v>309</v>
      </c>
      <c r="G246" s="7">
        <v>2017</v>
      </c>
      <c r="H246" s="6">
        <v>20.6</v>
      </c>
      <c r="I246" s="4" t="s">
        <v>298</v>
      </c>
      <c r="J246" s="4" t="s">
        <v>216</v>
      </c>
      <c r="K246" s="4" t="s">
        <v>310</v>
      </c>
      <c r="L246" s="4" t="s">
        <v>311</v>
      </c>
    </row>
    <row r="247" spans="1:12" ht="28.8" x14ac:dyDescent="0.3">
      <c r="A247" s="3" t="s">
        <v>126</v>
      </c>
      <c r="B247" s="4" t="s">
        <v>20</v>
      </c>
      <c r="C247" s="4" t="s">
        <v>124</v>
      </c>
      <c r="D247" s="4" t="s">
        <v>259</v>
      </c>
      <c r="E247" s="4" t="s">
        <v>207</v>
      </c>
      <c r="F247" s="4" t="s">
        <v>293</v>
      </c>
      <c r="G247" s="7">
        <v>2026</v>
      </c>
      <c r="H247" s="6">
        <v>4377</v>
      </c>
      <c r="I247" s="4" t="s">
        <v>294</v>
      </c>
      <c r="J247" s="4" t="s">
        <v>215</v>
      </c>
      <c r="K247" s="4" t="s">
        <v>211</v>
      </c>
      <c r="L247" s="4" t="s">
        <v>295</v>
      </c>
    </row>
    <row r="248" spans="1:12" ht="28.8" x14ac:dyDescent="0.3">
      <c r="A248" s="3" t="s">
        <v>126</v>
      </c>
      <c r="B248" s="4" t="s">
        <v>20</v>
      </c>
      <c r="C248" s="4" t="s">
        <v>124</v>
      </c>
      <c r="D248" s="4" t="s">
        <v>259</v>
      </c>
      <c r="E248" s="4" t="s">
        <v>296</v>
      </c>
      <c r="F248" s="4" t="s">
        <v>297</v>
      </c>
      <c r="G248" s="7">
        <v>2017</v>
      </c>
      <c r="H248" s="6">
        <v>72.400000000000006</v>
      </c>
      <c r="I248" s="4" t="s">
        <v>298</v>
      </c>
      <c r="J248" s="4" t="s">
        <v>299</v>
      </c>
      <c r="K248" s="4" t="s">
        <v>300</v>
      </c>
      <c r="L248" s="4" t="s">
        <v>301</v>
      </c>
    </row>
    <row r="249" spans="1:12" ht="28.8" x14ac:dyDescent="0.3">
      <c r="A249" s="3" t="s">
        <v>126</v>
      </c>
      <c r="B249" s="4" t="s">
        <v>20</v>
      </c>
      <c r="C249" s="4" t="s">
        <v>124</v>
      </c>
      <c r="D249" s="4" t="s">
        <v>259</v>
      </c>
      <c r="E249" s="4" t="s">
        <v>296</v>
      </c>
      <c r="F249" s="4" t="s">
        <v>302</v>
      </c>
      <c r="G249" s="7">
        <v>2017</v>
      </c>
      <c r="H249" s="6">
        <v>29.5</v>
      </c>
      <c r="I249" s="4" t="s">
        <v>298</v>
      </c>
      <c r="J249" s="4" t="s">
        <v>303</v>
      </c>
      <c r="K249" s="4" t="s">
        <v>300</v>
      </c>
      <c r="L249" s="4" t="s">
        <v>301</v>
      </c>
    </row>
    <row r="250" spans="1:12" ht="28.8" x14ac:dyDescent="0.3">
      <c r="A250" s="3" t="s">
        <v>126</v>
      </c>
      <c r="B250" s="4" t="s">
        <v>20</v>
      </c>
      <c r="C250" s="4" t="s">
        <v>124</v>
      </c>
      <c r="D250" s="4" t="s">
        <v>259</v>
      </c>
      <c r="E250" s="4" t="s">
        <v>304</v>
      </c>
      <c r="F250" s="4" t="s">
        <v>305</v>
      </c>
      <c r="G250" s="7">
        <v>2017</v>
      </c>
      <c r="H250" s="6">
        <v>0.5</v>
      </c>
      <c r="I250" s="4" t="s">
        <v>298</v>
      </c>
      <c r="J250" s="4" t="s">
        <v>306</v>
      </c>
      <c r="K250" s="4" t="s">
        <v>300</v>
      </c>
      <c r="L250" s="4" t="s">
        <v>307</v>
      </c>
    </row>
    <row r="251" spans="1:12" ht="28.8" x14ac:dyDescent="0.3">
      <c r="A251" s="3" t="s">
        <v>126</v>
      </c>
      <c r="B251" s="4" t="s">
        <v>20</v>
      </c>
      <c r="C251" s="4" t="s">
        <v>124</v>
      </c>
      <c r="D251" s="4" t="s">
        <v>259</v>
      </c>
      <c r="E251" s="4" t="s">
        <v>308</v>
      </c>
      <c r="F251" s="4" t="s">
        <v>309</v>
      </c>
      <c r="G251" s="7">
        <v>2017</v>
      </c>
      <c r="H251" s="6">
        <v>15.5</v>
      </c>
      <c r="I251" s="4" t="s">
        <v>298</v>
      </c>
      <c r="J251" s="4" t="s">
        <v>216</v>
      </c>
      <c r="K251" s="4" t="s">
        <v>310</v>
      </c>
      <c r="L251" s="4" t="s">
        <v>311</v>
      </c>
    </row>
    <row r="252" spans="1:12" ht="28.8" x14ac:dyDescent="0.3">
      <c r="A252" s="3" t="s">
        <v>128</v>
      </c>
      <c r="B252" s="4" t="s">
        <v>20</v>
      </c>
      <c r="C252" s="4" t="s">
        <v>124</v>
      </c>
      <c r="D252" s="4" t="s">
        <v>260</v>
      </c>
      <c r="E252" s="4" t="s">
        <v>207</v>
      </c>
      <c r="F252" s="4" t="s">
        <v>293</v>
      </c>
      <c r="G252" s="7">
        <v>2026</v>
      </c>
      <c r="H252" s="6">
        <v>13421</v>
      </c>
      <c r="I252" s="4" t="s">
        <v>294</v>
      </c>
      <c r="J252" s="4" t="s">
        <v>215</v>
      </c>
      <c r="K252" s="4" t="s">
        <v>211</v>
      </c>
      <c r="L252" s="4" t="s">
        <v>295</v>
      </c>
    </row>
    <row r="253" spans="1:12" ht="28.8" x14ac:dyDescent="0.3">
      <c r="A253" s="3" t="s">
        <v>128</v>
      </c>
      <c r="B253" s="4" t="s">
        <v>20</v>
      </c>
      <c r="C253" s="4" t="s">
        <v>124</v>
      </c>
      <c r="D253" s="4" t="s">
        <v>260</v>
      </c>
      <c r="E253" s="4" t="s">
        <v>296</v>
      </c>
      <c r="F253" s="4" t="s">
        <v>297</v>
      </c>
      <c r="G253" s="7">
        <v>2017</v>
      </c>
      <c r="H253" s="6">
        <v>84.5</v>
      </c>
      <c r="I253" s="4" t="s">
        <v>298</v>
      </c>
      <c r="J253" s="4" t="s">
        <v>299</v>
      </c>
      <c r="K253" s="4" t="s">
        <v>300</v>
      </c>
      <c r="L253" s="4" t="s">
        <v>301</v>
      </c>
    </row>
    <row r="254" spans="1:12" ht="28.8" x14ac:dyDescent="0.3">
      <c r="A254" s="3" t="s">
        <v>128</v>
      </c>
      <c r="B254" s="4" t="s">
        <v>20</v>
      </c>
      <c r="C254" s="4" t="s">
        <v>124</v>
      </c>
      <c r="D254" s="4" t="s">
        <v>260</v>
      </c>
      <c r="E254" s="4" t="s">
        <v>296</v>
      </c>
      <c r="F254" s="4" t="s">
        <v>302</v>
      </c>
      <c r="G254" s="7">
        <v>2017</v>
      </c>
      <c r="H254" s="6">
        <v>21.9</v>
      </c>
      <c r="I254" s="4" t="s">
        <v>298</v>
      </c>
      <c r="J254" s="4" t="s">
        <v>303</v>
      </c>
      <c r="K254" s="4" t="s">
        <v>300</v>
      </c>
      <c r="L254" s="4" t="s">
        <v>301</v>
      </c>
    </row>
    <row r="255" spans="1:12" ht="28.8" x14ac:dyDescent="0.3">
      <c r="A255" s="3" t="s">
        <v>128</v>
      </c>
      <c r="B255" s="4" t="s">
        <v>20</v>
      </c>
      <c r="C255" s="4" t="s">
        <v>124</v>
      </c>
      <c r="D255" s="4" t="s">
        <v>260</v>
      </c>
      <c r="E255" s="4" t="s">
        <v>304</v>
      </c>
      <c r="F255" s="4" t="s">
        <v>305</v>
      </c>
      <c r="G255" s="7">
        <v>2017</v>
      </c>
      <c r="H255" s="6">
        <v>0.5</v>
      </c>
      <c r="I255" s="4" t="s">
        <v>298</v>
      </c>
      <c r="J255" s="4" t="s">
        <v>306</v>
      </c>
      <c r="K255" s="4" t="s">
        <v>300</v>
      </c>
      <c r="L255" s="4" t="s">
        <v>307</v>
      </c>
    </row>
    <row r="256" spans="1:12" ht="28.8" x14ac:dyDescent="0.3">
      <c r="A256" s="3" t="s">
        <v>128</v>
      </c>
      <c r="B256" s="4" t="s">
        <v>20</v>
      </c>
      <c r="C256" s="4" t="s">
        <v>124</v>
      </c>
      <c r="D256" s="4" t="s">
        <v>260</v>
      </c>
      <c r="E256" s="4" t="s">
        <v>308</v>
      </c>
      <c r="F256" s="4" t="s">
        <v>309</v>
      </c>
      <c r="G256" s="7">
        <v>2017</v>
      </c>
      <c r="H256" s="6">
        <v>23.8</v>
      </c>
      <c r="I256" s="4" t="s">
        <v>298</v>
      </c>
      <c r="J256" s="4" t="s">
        <v>216</v>
      </c>
      <c r="K256" s="4" t="s">
        <v>310</v>
      </c>
      <c r="L256" s="4" t="s">
        <v>311</v>
      </c>
    </row>
    <row r="257" spans="1:12" ht="28.8" x14ac:dyDescent="0.3">
      <c r="A257" s="3" t="s">
        <v>130</v>
      </c>
      <c r="B257" s="4" t="s">
        <v>20</v>
      </c>
      <c r="C257" s="4" t="s">
        <v>124</v>
      </c>
      <c r="D257" s="4" t="s">
        <v>261</v>
      </c>
      <c r="E257" s="4" t="s">
        <v>207</v>
      </c>
      <c r="F257" s="4" t="s">
        <v>293</v>
      </c>
      <c r="G257" s="7">
        <v>2026</v>
      </c>
      <c r="H257" s="6">
        <v>6095</v>
      </c>
      <c r="I257" s="4" t="s">
        <v>294</v>
      </c>
      <c r="J257" s="4" t="s">
        <v>215</v>
      </c>
      <c r="K257" s="4" t="s">
        <v>211</v>
      </c>
      <c r="L257" s="4" t="s">
        <v>295</v>
      </c>
    </row>
    <row r="258" spans="1:12" ht="28.8" x14ac:dyDescent="0.3">
      <c r="A258" s="3" t="s">
        <v>130</v>
      </c>
      <c r="B258" s="4" t="s">
        <v>20</v>
      </c>
      <c r="C258" s="4" t="s">
        <v>124</v>
      </c>
      <c r="D258" s="4" t="s">
        <v>261</v>
      </c>
      <c r="E258" s="4" t="s">
        <v>296</v>
      </c>
      <c r="F258" s="4" t="s">
        <v>297</v>
      </c>
      <c r="G258" s="7">
        <v>2017</v>
      </c>
      <c r="H258" s="6">
        <v>76.5</v>
      </c>
      <c r="I258" s="4" t="s">
        <v>298</v>
      </c>
      <c r="J258" s="4" t="s">
        <v>299</v>
      </c>
      <c r="K258" s="4" t="s">
        <v>300</v>
      </c>
      <c r="L258" s="4" t="s">
        <v>301</v>
      </c>
    </row>
    <row r="259" spans="1:12" ht="28.8" x14ac:dyDescent="0.3">
      <c r="A259" s="3" t="s">
        <v>130</v>
      </c>
      <c r="B259" s="4" t="s">
        <v>20</v>
      </c>
      <c r="C259" s="4" t="s">
        <v>124</v>
      </c>
      <c r="D259" s="4" t="s">
        <v>261</v>
      </c>
      <c r="E259" s="4" t="s">
        <v>296</v>
      </c>
      <c r="F259" s="4" t="s">
        <v>302</v>
      </c>
      <c r="G259" s="7">
        <v>2017</v>
      </c>
      <c r="H259" s="6">
        <v>22.9</v>
      </c>
      <c r="I259" s="4" t="s">
        <v>298</v>
      </c>
      <c r="J259" s="4" t="s">
        <v>303</v>
      </c>
      <c r="K259" s="4" t="s">
        <v>300</v>
      </c>
      <c r="L259" s="4" t="s">
        <v>301</v>
      </c>
    </row>
    <row r="260" spans="1:12" ht="28.8" x14ac:dyDescent="0.3">
      <c r="A260" s="3" t="s">
        <v>130</v>
      </c>
      <c r="B260" s="4" t="s">
        <v>20</v>
      </c>
      <c r="C260" s="4" t="s">
        <v>124</v>
      </c>
      <c r="D260" s="4" t="s">
        <v>261</v>
      </c>
      <c r="E260" s="4" t="s">
        <v>304</v>
      </c>
      <c r="F260" s="4" t="s">
        <v>305</v>
      </c>
      <c r="G260" s="7">
        <v>2017</v>
      </c>
      <c r="H260" s="6">
        <v>0.4</v>
      </c>
      <c r="I260" s="4" t="s">
        <v>298</v>
      </c>
      <c r="J260" s="4" t="s">
        <v>306</v>
      </c>
      <c r="K260" s="4" t="s">
        <v>300</v>
      </c>
      <c r="L260" s="4" t="s">
        <v>307</v>
      </c>
    </row>
    <row r="261" spans="1:12" ht="28.8" x14ac:dyDescent="0.3">
      <c r="A261" s="3" t="s">
        <v>130</v>
      </c>
      <c r="B261" s="4" t="s">
        <v>20</v>
      </c>
      <c r="C261" s="4" t="s">
        <v>124</v>
      </c>
      <c r="D261" s="4" t="s">
        <v>261</v>
      </c>
      <c r="E261" s="4" t="s">
        <v>308</v>
      </c>
      <c r="F261" s="4" t="s">
        <v>309</v>
      </c>
      <c r="G261" s="7">
        <v>2017</v>
      </c>
      <c r="H261" s="6">
        <v>22.2</v>
      </c>
      <c r="I261" s="4" t="s">
        <v>298</v>
      </c>
      <c r="J261" s="4" t="s">
        <v>216</v>
      </c>
      <c r="K261" s="4" t="s">
        <v>310</v>
      </c>
      <c r="L261" s="4" t="s">
        <v>311</v>
      </c>
    </row>
    <row r="262" spans="1:12" ht="28.8" x14ac:dyDescent="0.3">
      <c r="A262" s="3" t="s">
        <v>132</v>
      </c>
      <c r="B262" s="4" t="s">
        <v>20</v>
      </c>
      <c r="C262" s="4" t="s">
        <v>124</v>
      </c>
      <c r="D262" s="4" t="s">
        <v>262</v>
      </c>
      <c r="E262" s="4" t="s">
        <v>207</v>
      </c>
      <c r="F262" s="4" t="s">
        <v>293</v>
      </c>
      <c r="G262" s="7">
        <v>2026</v>
      </c>
      <c r="H262" s="6">
        <v>922</v>
      </c>
      <c r="I262" s="4" t="s">
        <v>294</v>
      </c>
      <c r="J262" s="4" t="s">
        <v>215</v>
      </c>
      <c r="K262" s="4" t="s">
        <v>211</v>
      </c>
      <c r="L262" s="4" t="s">
        <v>295</v>
      </c>
    </row>
    <row r="263" spans="1:12" ht="28.8" x14ac:dyDescent="0.3">
      <c r="A263" s="3" t="s">
        <v>132</v>
      </c>
      <c r="B263" s="4" t="s">
        <v>20</v>
      </c>
      <c r="C263" s="4" t="s">
        <v>124</v>
      </c>
      <c r="D263" s="4" t="s">
        <v>262</v>
      </c>
      <c r="E263" s="4" t="s">
        <v>296</v>
      </c>
      <c r="F263" s="4" t="s">
        <v>297</v>
      </c>
      <c r="G263" s="7">
        <v>2017</v>
      </c>
      <c r="H263" s="6">
        <v>79</v>
      </c>
      <c r="I263" s="4" t="s">
        <v>298</v>
      </c>
      <c r="J263" s="4" t="s">
        <v>299</v>
      </c>
      <c r="K263" s="4" t="s">
        <v>300</v>
      </c>
      <c r="L263" s="4" t="s">
        <v>301</v>
      </c>
    </row>
    <row r="264" spans="1:12" ht="28.8" x14ac:dyDescent="0.3">
      <c r="A264" s="3" t="s">
        <v>132</v>
      </c>
      <c r="B264" s="4" t="s">
        <v>20</v>
      </c>
      <c r="C264" s="4" t="s">
        <v>124</v>
      </c>
      <c r="D264" s="4" t="s">
        <v>262</v>
      </c>
      <c r="E264" s="4" t="s">
        <v>296</v>
      </c>
      <c r="F264" s="4" t="s">
        <v>302</v>
      </c>
      <c r="G264" s="7">
        <v>2017</v>
      </c>
      <c r="H264" s="6">
        <v>37.6</v>
      </c>
      <c r="I264" s="4" t="s">
        <v>298</v>
      </c>
      <c r="J264" s="4" t="s">
        <v>303</v>
      </c>
      <c r="K264" s="4" t="s">
        <v>300</v>
      </c>
      <c r="L264" s="4" t="s">
        <v>301</v>
      </c>
    </row>
    <row r="265" spans="1:12" ht="28.8" x14ac:dyDescent="0.3">
      <c r="A265" s="3" t="s">
        <v>132</v>
      </c>
      <c r="B265" s="4" t="s">
        <v>20</v>
      </c>
      <c r="C265" s="4" t="s">
        <v>124</v>
      </c>
      <c r="D265" s="4" t="s">
        <v>262</v>
      </c>
      <c r="E265" s="4" t="s">
        <v>304</v>
      </c>
      <c r="F265" s="4" t="s">
        <v>305</v>
      </c>
      <c r="G265" s="7">
        <v>2017</v>
      </c>
      <c r="H265" s="6">
        <v>0</v>
      </c>
      <c r="I265" s="4" t="s">
        <v>298</v>
      </c>
      <c r="J265" s="4" t="s">
        <v>306</v>
      </c>
      <c r="K265" s="4" t="s">
        <v>300</v>
      </c>
      <c r="L265" s="4" t="s">
        <v>307</v>
      </c>
    </row>
    <row r="266" spans="1:12" ht="28.8" x14ac:dyDescent="0.3">
      <c r="A266" s="3" t="s">
        <v>132</v>
      </c>
      <c r="B266" s="4" t="s">
        <v>20</v>
      </c>
      <c r="C266" s="4" t="s">
        <v>124</v>
      </c>
      <c r="D266" s="4" t="s">
        <v>262</v>
      </c>
      <c r="E266" s="4" t="s">
        <v>308</v>
      </c>
      <c r="F266" s="4" t="s">
        <v>309</v>
      </c>
      <c r="G266" s="7">
        <v>2017</v>
      </c>
      <c r="H266" s="6">
        <v>14.7</v>
      </c>
      <c r="I266" s="4" t="s">
        <v>298</v>
      </c>
      <c r="J266" s="4" t="s">
        <v>216</v>
      </c>
      <c r="K266" s="4" t="s">
        <v>310</v>
      </c>
      <c r="L266" s="4" t="s">
        <v>311</v>
      </c>
    </row>
    <row r="267" spans="1:12" ht="28.8" x14ac:dyDescent="0.3">
      <c r="A267" s="3" t="s">
        <v>134</v>
      </c>
      <c r="B267" s="4" t="s">
        <v>20</v>
      </c>
      <c r="C267" s="4" t="s">
        <v>124</v>
      </c>
      <c r="D267" s="4" t="s">
        <v>263</v>
      </c>
      <c r="E267" s="4" t="s">
        <v>207</v>
      </c>
      <c r="F267" s="4" t="s">
        <v>293</v>
      </c>
      <c r="G267" s="7">
        <v>2026</v>
      </c>
      <c r="H267" s="6">
        <v>3656</v>
      </c>
      <c r="I267" s="4" t="s">
        <v>294</v>
      </c>
      <c r="J267" s="4" t="s">
        <v>215</v>
      </c>
      <c r="K267" s="4" t="s">
        <v>211</v>
      </c>
      <c r="L267" s="4" t="s">
        <v>295</v>
      </c>
    </row>
    <row r="268" spans="1:12" ht="28.8" x14ac:dyDescent="0.3">
      <c r="A268" s="3" t="s">
        <v>134</v>
      </c>
      <c r="B268" s="4" t="s">
        <v>20</v>
      </c>
      <c r="C268" s="4" t="s">
        <v>124</v>
      </c>
      <c r="D268" s="4" t="s">
        <v>263</v>
      </c>
      <c r="E268" s="4" t="s">
        <v>296</v>
      </c>
      <c r="F268" s="4" t="s">
        <v>297</v>
      </c>
      <c r="G268" s="7">
        <v>2017</v>
      </c>
      <c r="H268" s="6">
        <v>84.8</v>
      </c>
      <c r="I268" s="4" t="s">
        <v>298</v>
      </c>
      <c r="J268" s="4" t="s">
        <v>299</v>
      </c>
      <c r="K268" s="4" t="s">
        <v>300</v>
      </c>
      <c r="L268" s="4" t="s">
        <v>301</v>
      </c>
    </row>
    <row r="269" spans="1:12" ht="28.8" x14ac:dyDescent="0.3">
      <c r="A269" s="3" t="s">
        <v>134</v>
      </c>
      <c r="B269" s="4" t="s">
        <v>20</v>
      </c>
      <c r="C269" s="4" t="s">
        <v>124</v>
      </c>
      <c r="D269" s="4" t="s">
        <v>263</v>
      </c>
      <c r="E269" s="4" t="s">
        <v>296</v>
      </c>
      <c r="F269" s="4" t="s">
        <v>302</v>
      </c>
      <c r="G269" s="7">
        <v>2017</v>
      </c>
      <c r="H269" s="6">
        <v>29.3</v>
      </c>
      <c r="I269" s="4" t="s">
        <v>298</v>
      </c>
      <c r="J269" s="4" t="s">
        <v>303</v>
      </c>
      <c r="K269" s="4" t="s">
        <v>300</v>
      </c>
      <c r="L269" s="4" t="s">
        <v>301</v>
      </c>
    </row>
    <row r="270" spans="1:12" ht="28.8" x14ac:dyDescent="0.3">
      <c r="A270" s="3" t="s">
        <v>134</v>
      </c>
      <c r="B270" s="4" t="s">
        <v>20</v>
      </c>
      <c r="C270" s="4" t="s">
        <v>124</v>
      </c>
      <c r="D270" s="4" t="s">
        <v>263</v>
      </c>
      <c r="E270" s="4" t="s">
        <v>304</v>
      </c>
      <c r="F270" s="4" t="s">
        <v>305</v>
      </c>
      <c r="G270" s="7">
        <v>2017</v>
      </c>
      <c r="H270" s="6">
        <v>0</v>
      </c>
      <c r="I270" s="4" t="s">
        <v>298</v>
      </c>
      <c r="J270" s="4" t="s">
        <v>306</v>
      </c>
      <c r="K270" s="4" t="s">
        <v>300</v>
      </c>
      <c r="L270" s="4" t="s">
        <v>307</v>
      </c>
    </row>
    <row r="271" spans="1:12" ht="28.8" x14ac:dyDescent="0.3">
      <c r="A271" s="3" t="s">
        <v>134</v>
      </c>
      <c r="B271" s="4" t="s">
        <v>20</v>
      </c>
      <c r="C271" s="4" t="s">
        <v>124</v>
      </c>
      <c r="D271" s="4" t="s">
        <v>263</v>
      </c>
      <c r="E271" s="4" t="s">
        <v>308</v>
      </c>
      <c r="F271" s="4" t="s">
        <v>309</v>
      </c>
      <c r="G271" s="7">
        <v>2017</v>
      </c>
      <c r="H271" s="6">
        <v>23.6</v>
      </c>
      <c r="I271" s="4" t="s">
        <v>298</v>
      </c>
      <c r="J271" s="4" t="s">
        <v>216</v>
      </c>
      <c r="K271" s="4" t="s">
        <v>310</v>
      </c>
      <c r="L271" s="4" t="s">
        <v>311</v>
      </c>
    </row>
    <row r="272" spans="1:12" ht="28.8" x14ac:dyDescent="0.3">
      <c r="A272" s="3" t="s">
        <v>136</v>
      </c>
      <c r="B272" s="4" t="s">
        <v>20</v>
      </c>
      <c r="C272" s="4" t="s">
        <v>124</v>
      </c>
      <c r="D272" s="4" t="s">
        <v>264</v>
      </c>
      <c r="E272" s="4" t="s">
        <v>207</v>
      </c>
      <c r="F272" s="4" t="s">
        <v>293</v>
      </c>
      <c r="G272" s="7">
        <v>2026</v>
      </c>
      <c r="H272" s="6">
        <v>1266</v>
      </c>
      <c r="I272" s="4" t="s">
        <v>294</v>
      </c>
      <c r="J272" s="4" t="s">
        <v>215</v>
      </c>
      <c r="K272" s="4" t="s">
        <v>211</v>
      </c>
      <c r="L272" s="4" t="s">
        <v>295</v>
      </c>
    </row>
    <row r="273" spans="1:12" ht="28.8" x14ac:dyDescent="0.3">
      <c r="A273" s="3" t="s">
        <v>136</v>
      </c>
      <c r="B273" s="4" t="s">
        <v>20</v>
      </c>
      <c r="C273" s="4" t="s">
        <v>124</v>
      </c>
      <c r="D273" s="4" t="s">
        <v>264</v>
      </c>
      <c r="E273" s="4" t="s">
        <v>296</v>
      </c>
      <c r="F273" s="4" t="s">
        <v>297</v>
      </c>
      <c r="G273" s="7">
        <v>2017</v>
      </c>
      <c r="H273" s="6">
        <v>0</v>
      </c>
      <c r="I273" s="4" t="s">
        <v>298</v>
      </c>
      <c r="J273" s="4" t="s">
        <v>299</v>
      </c>
      <c r="K273" s="4" t="s">
        <v>300</v>
      </c>
      <c r="L273" s="4" t="s">
        <v>301</v>
      </c>
    </row>
    <row r="274" spans="1:12" ht="28.8" x14ac:dyDescent="0.3">
      <c r="A274" s="3" t="s">
        <v>136</v>
      </c>
      <c r="B274" s="4" t="s">
        <v>20</v>
      </c>
      <c r="C274" s="4" t="s">
        <v>124</v>
      </c>
      <c r="D274" s="4" t="s">
        <v>264</v>
      </c>
      <c r="E274" s="4" t="s">
        <v>296</v>
      </c>
      <c r="F274" s="4" t="s">
        <v>302</v>
      </c>
      <c r="G274" s="7">
        <v>2017</v>
      </c>
      <c r="H274" s="6">
        <v>0</v>
      </c>
      <c r="I274" s="4" t="s">
        <v>298</v>
      </c>
      <c r="J274" s="4" t="s">
        <v>303</v>
      </c>
      <c r="K274" s="4" t="s">
        <v>300</v>
      </c>
      <c r="L274" s="4" t="s">
        <v>301</v>
      </c>
    </row>
    <row r="275" spans="1:12" ht="28.8" x14ac:dyDescent="0.3">
      <c r="A275" s="3" t="s">
        <v>136</v>
      </c>
      <c r="B275" s="4" t="s">
        <v>20</v>
      </c>
      <c r="C275" s="4" t="s">
        <v>124</v>
      </c>
      <c r="D275" s="4" t="s">
        <v>264</v>
      </c>
      <c r="E275" s="4" t="s">
        <v>304</v>
      </c>
      <c r="F275" s="4" t="s">
        <v>305</v>
      </c>
      <c r="G275" s="7">
        <v>2017</v>
      </c>
      <c r="H275" s="6">
        <v>0</v>
      </c>
      <c r="I275" s="4" t="s">
        <v>298</v>
      </c>
      <c r="J275" s="4" t="s">
        <v>306</v>
      </c>
      <c r="K275" s="4" t="s">
        <v>300</v>
      </c>
      <c r="L275" s="4" t="s">
        <v>307</v>
      </c>
    </row>
    <row r="276" spans="1:12" ht="28.8" x14ac:dyDescent="0.3">
      <c r="A276" s="3" t="s">
        <v>136</v>
      </c>
      <c r="B276" s="4" t="s">
        <v>20</v>
      </c>
      <c r="C276" s="4" t="s">
        <v>124</v>
      </c>
      <c r="D276" s="4" t="s">
        <v>264</v>
      </c>
      <c r="E276" s="4" t="s">
        <v>308</v>
      </c>
      <c r="F276" s="4" t="s">
        <v>309</v>
      </c>
      <c r="G276" s="7">
        <v>2017</v>
      </c>
      <c r="H276" s="6">
        <v>23.1</v>
      </c>
      <c r="I276" s="4" t="s">
        <v>298</v>
      </c>
      <c r="J276" s="4" t="s">
        <v>216</v>
      </c>
      <c r="K276" s="4" t="s">
        <v>310</v>
      </c>
      <c r="L276" s="4" t="s">
        <v>311</v>
      </c>
    </row>
    <row r="277" spans="1:12" ht="28.8" x14ac:dyDescent="0.3">
      <c r="A277" s="3" t="s">
        <v>138</v>
      </c>
      <c r="B277" s="4" t="s">
        <v>20</v>
      </c>
      <c r="C277" s="4" t="s">
        <v>124</v>
      </c>
      <c r="D277" s="4" t="s">
        <v>265</v>
      </c>
      <c r="E277" s="4" t="s">
        <v>207</v>
      </c>
      <c r="F277" s="4" t="s">
        <v>293</v>
      </c>
      <c r="G277" s="7">
        <v>2026</v>
      </c>
      <c r="H277" s="6">
        <v>22884</v>
      </c>
      <c r="I277" s="4" t="s">
        <v>294</v>
      </c>
      <c r="J277" s="4" t="s">
        <v>215</v>
      </c>
      <c r="K277" s="4" t="s">
        <v>211</v>
      </c>
      <c r="L277" s="4" t="s">
        <v>295</v>
      </c>
    </row>
    <row r="278" spans="1:12" ht="28.8" x14ac:dyDescent="0.3">
      <c r="A278" s="3" t="s">
        <v>138</v>
      </c>
      <c r="B278" s="4" t="s">
        <v>20</v>
      </c>
      <c r="C278" s="4" t="s">
        <v>124</v>
      </c>
      <c r="D278" s="4" t="s">
        <v>265</v>
      </c>
      <c r="E278" s="4" t="s">
        <v>296</v>
      </c>
      <c r="F278" s="4" t="s">
        <v>297</v>
      </c>
      <c r="G278" s="7">
        <v>2017</v>
      </c>
      <c r="H278" s="6">
        <v>79.3</v>
      </c>
      <c r="I278" s="4" t="s">
        <v>298</v>
      </c>
      <c r="J278" s="4" t="s">
        <v>299</v>
      </c>
      <c r="K278" s="4" t="s">
        <v>300</v>
      </c>
      <c r="L278" s="4" t="s">
        <v>301</v>
      </c>
    </row>
    <row r="279" spans="1:12" ht="28.8" x14ac:dyDescent="0.3">
      <c r="A279" s="3" t="s">
        <v>138</v>
      </c>
      <c r="B279" s="4" t="s">
        <v>20</v>
      </c>
      <c r="C279" s="4" t="s">
        <v>124</v>
      </c>
      <c r="D279" s="4" t="s">
        <v>265</v>
      </c>
      <c r="E279" s="4" t="s">
        <v>296</v>
      </c>
      <c r="F279" s="4" t="s">
        <v>302</v>
      </c>
      <c r="G279" s="7">
        <v>2017</v>
      </c>
      <c r="H279" s="6">
        <v>59.6</v>
      </c>
      <c r="I279" s="4" t="s">
        <v>298</v>
      </c>
      <c r="J279" s="4" t="s">
        <v>303</v>
      </c>
      <c r="K279" s="4" t="s">
        <v>300</v>
      </c>
      <c r="L279" s="4" t="s">
        <v>301</v>
      </c>
    </row>
    <row r="280" spans="1:12" ht="28.8" x14ac:dyDescent="0.3">
      <c r="A280" s="3" t="s">
        <v>138</v>
      </c>
      <c r="B280" s="4" t="s">
        <v>20</v>
      </c>
      <c r="C280" s="4" t="s">
        <v>124</v>
      </c>
      <c r="D280" s="4" t="s">
        <v>265</v>
      </c>
      <c r="E280" s="4" t="s">
        <v>304</v>
      </c>
      <c r="F280" s="4" t="s">
        <v>305</v>
      </c>
      <c r="G280" s="7">
        <v>2017</v>
      </c>
      <c r="H280" s="6">
        <v>6.9</v>
      </c>
      <c r="I280" s="4" t="s">
        <v>298</v>
      </c>
      <c r="J280" s="4" t="s">
        <v>306</v>
      </c>
      <c r="K280" s="4" t="s">
        <v>300</v>
      </c>
      <c r="L280" s="4" t="s">
        <v>307</v>
      </c>
    </row>
    <row r="281" spans="1:12" ht="28.8" x14ac:dyDescent="0.3">
      <c r="A281" s="3" t="s">
        <v>138</v>
      </c>
      <c r="B281" s="4" t="s">
        <v>20</v>
      </c>
      <c r="C281" s="4" t="s">
        <v>124</v>
      </c>
      <c r="D281" s="4" t="s">
        <v>265</v>
      </c>
      <c r="E281" s="4" t="s">
        <v>308</v>
      </c>
      <c r="F281" s="4" t="s">
        <v>309</v>
      </c>
      <c r="G281" s="7">
        <v>2017</v>
      </c>
      <c r="H281" s="6">
        <v>7.1</v>
      </c>
      <c r="I281" s="4" t="s">
        <v>298</v>
      </c>
      <c r="J281" s="4" t="s">
        <v>216</v>
      </c>
      <c r="K281" s="4" t="s">
        <v>310</v>
      </c>
      <c r="L281" s="4" t="s">
        <v>311</v>
      </c>
    </row>
    <row r="282" spans="1:12" ht="28.8" x14ac:dyDescent="0.3">
      <c r="A282" s="3" t="s">
        <v>140</v>
      </c>
      <c r="B282" s="4" t="s">
        <v>20</v>
      </c>
      <c r="C282" s="4" t="s">
        <v>124</v>
      </c>
      <c r="D282" s="4" t="s">
        <v>124</v>
      </c>
      <c r="E282" s="4" t="s">
        <v>207</v>
      </c>
      <c r="F282" s="4" t="s">
        <v>293</v>
      </c>
      <c r="G282" s="7">
        <v>2026</v>
      </c>
      <c r="H282" s="6">
        <v>12072</v>
      </c>
      <c r="I282" s="4" t="s">
        <v>294</v>
      </c>
      <c r="J282" s="4" t="s">
        <v>215</v>
      </c>
      <c r="K282" s="4" t="s">
        <v>211</v>
      </c>
      <c r="L282" s="4" t="s">
        <v>295</v>
      </c>
    </row>
    <row r="283" spans="1:12" ht="28.8" x14ac:dyDescent="0.3">
      <c r="A283" s="3" t="s">
        <v>140</v>
      </c>
      <c r="B283" s="4" t="s">
        <v>20</v>
      </c>
      <c r="C283" s="4" t="s">
        <v>124</v>
      </c>
      <c r="D283" s="4" t="s">
        <v>124</v>
      </c>
      <c r="E283" s="4" t="s">
        <v>296</v>
      </c>
      <c r="F283" s="4" t="s">
        <v>297</v>
      </c>
      <c r="G283" s="7">
        <v>2017</v>
      </c>
      <c r="H283" s="6">
        <v>82.2</v>
      </c>
      <c r="I283" s="4" t="s">
        <v>298</v>
      </c>
      <c r="J283" s="4" t="s">
        <v>299</v>
      </c>
      <c r="K283" s="4" t="s">
        <v>300</v>
      </c>
      <c r="L283" s="4" t="s">
        <v>301</v>
      </c>
    </row>
    <row r="284" spans="1:12" ht="28.8" x14ac:dyDescent="0.3">
      <c r="A284" s="3" t="s">
        <v>140</v>
      </c>
      <c r="B284" s="4" t="s">
        <v>20</v>
      </c>
      <c r="C284" s="4" t="s">
        <v>124</v>
      </c>
      <c r="D284" s="4" t="s">
        <v>124</v>
      </c>
      <c r="E284" s="4" t="s">
        <v>296</v>
      </c>
      <c r="F284" s="4" t="s">
        <v>302</v>
      </c>
      <c r="G284" s="7">
        <v>2017</v>
      </c>
      <c r="H284" s="6">
        <v>64.599999999999994</v>
      </c>
      <c r="I284" s="4" t="s">
        <v>298</v>
      </c>
      <c r="J284" s="4" t="s">
        <v>303</v>
      </c>
      <c r="K284" s="4" t="s">
        <v>300</v>
      </c>
      <c r="L284" s="4" t="s">
        <v>301</v>
      </c>
    </row>
    <row r="285" spans="1:12" ht="28.8" x14ac:dyDescent="0.3">
      <c r="A285" s="3" t="s">
        <v>140</v>
      </c>
      <c r="B285" s="4" t="s">
        <v>20</v>
      </c>
      <c r="C285" s="4" t="s">
        <v>124</v>
      </c>
      <c r="D285" s="4" t="s">
        <v>124</v>
      </c>
      <c r="E285" s="4" t="s">
        <v>304</v>
      </c>
      <c r="F285" s="4" t="s">
        <v>305</v>
      </c>
      <c r="G285" s="7">
        <v>2017</v>
      </c>
      <c r="H285" s="6">
        <v>8</v>
      </c>
      <c r="I285" s="4" t="s">
        <v>298</v>
      </c>
      <c r="J285" s="4" t="s">
        <v>306</v>
      </c>
      <c r="K285" s="4" t="s">
        <v>300</v>
      </c>
      <c r="L285" s="4" t="s">
        <v>307</v>
      </c>
    </row>
    <row r="286" spans="1:12" ht="28.8" x14ac:dyDescent="0.3">
      <c r="A286" s="3" t="s">
        <v>140</v>
      </c>
      <c r="B286" s="4" t="s">
        <v>20</v>
      </c>
      <c r="C286" s="4" t="s">
        <v>124</v>
      </c>
      <c r="D286" s="4" t="s">
        <v>124</v>
      </c>
      <c r="E286" s="4" t="s">
        <v>308</v>
      </c>
      <c r="F286" s="4" t="s">
        <v>309</v>
      </c>
      <c r="G286" s="7">
        <v>2017</v>
      </c>
      <c r="H286" s="6">
        <v>8.6999999999999993</v>
      </c>
      <c r="I286" s="4" t="s">
        <v>298</v>
      </c>
      <c r="J286" s="4" t="s">
        <v>216</v>
      </c>
      <c r="K286" s="4" t="s">
        <v>310</v>
      </c>
      <c r="L286" s="4" t="s">
        <v>311</v>
      </c>
    </row>
    <row r="287" spans="1:12" ht="28.8" x14ac:dyDescent="0.3">
      <c r="A287" s="3" t="s">
        <v>142</v>
      </c>
      <c r="B287" s="4" t="s">
        <v>20</v>
      </c>
      <c r="C287" s="4" t="s">
        <v>124</v>
      </c>
      <c r="D287" s="4" t="s">
        <v>266</v>
      </c>
      <c r="E287" s="4" t="s">
        <v>207</v>
      </c>
      <c r="F287" s="4" t="s">
        <v>293</v>
      </c>
      <c r="G287" s="7">
        <v>2026</v>
      </c>
      <c r="H287" s="6">
        <v>2041</v>
      </c>
      <c r="I287" s="4" t="s">
        <v>294</v>
      </c>
      <c r="J287" s="4" t="s">
        <v>215</v>
      </c>
      <c r="K287" s="4" t="s">
        <v>211</v>
      </c>
      <c r="L287" s="4" t="s">
        <v>295</v>
      </c>
    </row>
    <row r="288" spans="1:12" ht="28.8" x14ac:dyDescent="0.3">
      <c r="A288" s="3" t="s">
        <v>142</v>
      </c>
      <c r="B288" s="4" t="s">
        <v>20</v>
      </c>
      <c r="C288" s="4" t="s">
        <v>124</v>
      </c>
      <c r="D288" s="4" t="s">
        <v>266</v>
      </c>
      <c r="E288" s="4" t="s">
        <v>296</v>
      </c>
      <c r="F288" s="4" t="s">
        <v>297</v>
      </c>
      <c r="G288" s="7">
        <v>2017</v>
      </c>
      <c r="H288" s="6">
        <v>89.9</v>
      </c>
      <c r="I288" s="4" t="s">
        <v>298</v>
      </c>
      <c r="J288" s="4" t="s">
        <v>299</v>
      </c>
      <c r="K288" s="4" t="s">
        <v>300</v>
      </c>
      <c r="L288" s="4" t="s">
        <v>301</v>
      </c>
    </row>
    <row r="289" spans="1:12" ht="28.8" x14ac:dyDescent="0.3">
      <c r="A289" s="3" t="s">
        <v>142</v>
      </c>
      <c r="B289" s="4" t="s">
        <v>20</v>
      </c>
      <c r="C289" s="4" t="s">
        <v>124</v>
      </c>
      <c r="D289" s="4" t="s">
        <v>266</v>
      </c>
      <c r="E289" s="4" t="s">
        <v>296</v>
      </c>
      <c r="F289" s="4" t="s">
        <v>302</v>
      </c>
      <c r="G289" s="7">
        <v>2017</v>
      </c>
      <c r="H289" s="6">
        <v>62.9</v>
      </c>
      <c r="I289" s="4" t="s">
        <v>298</v>
      </c>
      <c r="J289" s="4" t="s">
        <v>303</v>
      </c>
      <c r="K289" s="4" t="s">
        <v>300</v>
      </c>
      <c r="L289" s="4" t="s">
        <v>301</v>
      </c>
    </row>
    <row r="290" spans="1:12" ht="28.8" x14ac:dyDescent="0.3">
      <c r="A290" s="3" t="s">
        <v>142</v>
      </c>
      <c r="B290" s="4" t="s">
        <v>20</v>
      </c>
      <c r="C290" s="4" t="s">
        <v>124</v>
      </c>
      <c r="D290" s="4" t="s">
        <v>266</v>
      </c>
      <c r="E290" s="4" t="s">
        <v>304</v>
      </c>
      <c r="F290" s="4" t="s">
        <v>305</v>
      </c>
      <c r="G290" s="7">
        <v>2017</v>
      </c>
      <c r="H290" s="6">
        <v>0.4</v>
      </c>
      <c r="I290" s="4" t="s">
        <v>298</v>
      </c>
      <c r="J290" s="4" t="s">
        <v>306</v>
      </c>
      <c r="K290" s="4" t="s">
        <v>300</v>
      </c>
      <c r="L290" s="4" t="s">
        <v>307</v>
      </c>
    </row>
    <row r="291" spans="1:12" ht="28.8" x14ac:dyDescent="0.3">
      <c r="A291" s="3" t="s">
        <v>142</v>
      </c>
      <c r="B291" s="4" t="s">
        <v>20</v>
      </c>
      <c r="C291" s="4" t="s">
        <v>124</v>
      </c>
      <c r="D291" s="4" t="s">
        <v>266</v>
      </c>
      <c r="E291" s="4" t="s">
        <v>308</v>
      </c>
      <c r="F291" s="4" t="s">
        <v>309</v>
      </c>
      <c r="G291" s="7">
        <v>2017</v>
      </c>
      <c r="H291" s="6">
        <v>12.1</v>
      </c>
      <c r="I291" s="4" t="s">
        <v>298</v>
      </c>
      <c r="J291" s="4" t="s">
        <v>216</v>
      </c>
      <c r="K291" s="4" t="s">
        <v>310</v>
      </c>
      <c r="L291" s="4" t="s">
        <v>311</v>
      </c>
    </row>
    <row r="292" spans="1:12" ht="28.8" x14ac:dyDescent="0.3">
      <c r="A292" s="3" t="s">
        <v>144</v>
      </c>
      <c r="B292" s="4" t="s">
        <v>20</v>
      </c>
      <c r="C292" s="4" t="s">
        <v>124</v>
      </c>
      <c r="D292" s="4" t="s">
        <v>267</v>
      </c>
      <c r="E292" s="4" t="s">
        <v>207</v>
      </c>
      <c r="F292" s="4" t="s">
        <v>293</v>
      </c>
      <c r="G292" s="7">
        <v>2026</v>
      </c>
      <c r="H292" s="6">
        <v>2146</v>
      </c>
      <c r="I292" s="4" t="s">
        <v>294</v>
      </c>
      <c r="J292" s="4" t="s">
        <v>215</v>
      </c>
      <c r="K292" s="4" t="s">
        <v>211</v>
      </c>
      <c r="L292" s="4" t="s">
        <v>295</v>
      </c>
    </row>
    <row r="293" spans="1:12" ht="28.8" x14ac:dyDescent="0.3">
      <c r="A293" s="3" t="s">
        <v>144</v>
      </c>
      <c r="B293" s="4" t="s">
        <v>20</v>
      </c>
      <c r="C293" s="4" t="s">
        <v>124</v>
      </c>
      <c r="D293" s="4" t="s">
        <v>267</v>
      </c>
      <c r="E293" s="4" t="s">
        <v>296</v>
      </c>
      <c r="F293" s="4" t="s">
        <v>297</v>
      </c>
      <c r="G293" s="7">
        <v>2017</v>
      </c>
      <c r="H293" s="6">
        <v>85.4</v>
      </c>
      <c r="I293" s="4" t="s">
        <v>298</v>
      </c>
      <c r="J293" s="4" t="s">
        <v>299</v>
      </c>
      <c r="K293" s="4" t="s">
        <v>300</v>
      </c>
      <c r="L293" s="4" t="s">
        <v>301</v>
      </c>
    </row>
    <row r="294" spans="1:12" ht="28.8" x14ac:dyDescent="0.3">
      <c r="A294" s="3" t="s">
        <v>144</v>
      </c>
      <c r="B294" s="4" t="s">
        <v>20</v>
      </c>
      <c r="C294" s="4" t="s">
        <v>124</v>
      </c>
      <c r="D294" s="4" t="s">
        <v>267</v>
      </c>
      <c r="E294" s="4" t="s">
        <v>296</v>
      </c>
      <c r="F294" s="4" t="s">
        <v>302</v>
      </c>
      <c r="G294" s="7">
        <v>2017</v>
      </c>
      <c r="H294" s="6">
        <v>47.3</v>
      </c>
      <c r="I294" s="4" t="s">
        <v>298</v>
      </c>
      <c r="J294" s="4" t="s">
        <v>303</v>
      </c>
      <c r="K294" s="4" t="s">
        <v>300</v>
      </c>
      <c r="L294" s="4" t="s">
        <v>301</v>
      </c>
    </row>
    <row r="295" spans="1:12" ht="28.8" x14ac:dyDescent="0.3">
      <c r="A295" s="3" t="s">
        <v>144</v>
      </c>
      <c r="B295" s="4" t="s">
        <v>20</v>
      </c>
      <c r="C295" s="4" t="s">
        <v>124</v>
      </c>
      <c r="D295" s="4" t="s">
        <v>267</v>
      </c>
      <c r="E295" s="4" t="s">
        <v>304</v>
      </c>
      <c r="F295" s="4" t="s">
        <v>305</v>
      </c>
      <c r="G295" s="7">
        <v>2017</v>
      </c>
      <c r="H295" s="6">
        <v>0.3</v>
      </c>
      <c r="I295" s="4" t="s">
        <v>298</v>
      </c>
      <c r="J295" s="4" t="s">
        <v>306</v>
      </c>
      <c r="K295" s="4" t="s">
        <v>300</v>
      </c>
      <c r="L295" s="4" t="s">
        <v>307</v>
      </c>
    </row>
    <row r="296" spans="1:12" ht="28.8" x14ac:dyDescent="0.3">
      <c r="A296" s="3" t="s">
        <v>144</v>
      </c>
      <c r="B296" s="4" t="s">
        <v>20</v>
      </c>
      <c r="C296" s="4" t="s">
        <v>124</v>
      </c>
      <c r="D296" s="4" t="s">
        <v>267</v>
      </c>
      <c r="E296" s="4" t="s">
        <v>308</v>
      </c>
      <c r="F296" s="4" t="s">
        <v>309</v>
      </c>
      <c r="G296" s="7">
        <v>2017</v>
      </c>
      <c r="H296" s="6">
        <v>19.2</v>
      </c>
      <c r="I296" s="4" t="s">
        <v>298</v>
      </c>
      <c r="J296" s="4" t="s">
        <v>216</v>
      </c>
      <c r="K296" s="4" t="s">
        <v>310</v>
      </c>
      <c r="L296" s="4" t="s">
        <v>311</v>
      </c>
    </row>
    <row r="297" spans="1:12" ht="28.8" x14ac:dyDescent="0.3">
      <c r="A297" s="3" t="s">
        <v>146</v>
      </c>
      <c r="B297" s="4" t="s">
        <v>20</v>
      </c>
      <c r="C297" s="4" t="s">
        <v>124</v>
      </c>
      <c r="D297" s="4" t="s">
        <v>268</v>
      </c>
      <c r="E297" s="4" t="s">
        <v>207</v>
      </c>
      <c r="F297" s="4" t="s">
        <v>293</v>
      </c>
      <c r="G297" s="7">
        <v>2026</v>
      </c>
      <c r="H297" s="6">
        <v>3025</v>
      </c>
      <c r="I297" s="4" t="s">
        <v>294</v>
      </c>
      <c r="J297" s="4" t="s">
        <v>215</v>
      </c>
      <c r="K297" s="4" t="s">
        <v>211</v>
      </c>
      <c r="L297" s="4" t="s">
        <v>295</v>
      </c>
    </row>
    <row r="298" spans="1:12" ht="28.8" x14ac:dyDescent="0.3">
      <c r="A298" s="3" t="s">
        <v>146</v>
      </c>
      <c r="B298" s="4" t="s">
        <v>20</v>
      </c>
      <c r="C298" s="4" t="s">
        <v>124</v>
      </c>
      <c r="D298" s="4" t="s">
        <v>268</v>
      </c>
      <c r="E298" s="4" t="s">
        <v>296</v>
      </c>
      <c r="F298" s="4" t="s">
        <v>297</v>
      </c>
      <c r="G298" s="7">
        <v>2017</v>
      </c>
      <c r="H298" s="6">
        <v>82.8</v>
      </c>
      <c r="I298" s="4" t="s">
        <v>298</v>
      </c>
      <c r="J298" s="4" t="s">
        <v>299</v>
      </c>
      <c r="K298" s="4" t="s">
        <v>300</v>
      </c>
      <c r="L298" s="4" t="s">
        <v>301</v>
      </c>
    </row>
    <row r="299" spans="1:12" ht="28.8" x14ac:dyDescent="0.3">
      <c r="A299" s="3" t="s">
        <v>146</v>
      </c>
      <c r="B299" s="4" t="s">
        <v>20</v>
      </c>
      <c r="C299" s="4" t="s">
        <v>124</v>
      </c>
      <c r="D299" s="4" t="s">
        <v>268</v>
      </c>
      <c r="E299" s="4" t="s">
        <v>296</v>
      </c>
      <c r="F299" s="4" t="s">
        <v>302</v>
      </c>
      <c r="G299" s="7">
        <v>2017</v>
      </c>
      <c r="H299" s="6">
        <v>35.200000000000003</v>
      </c>
      <c r="I299" s="4" t="s">
        <v>298</v>
      </c>
      <c r="J299" s="4" t="s">
        <v>303</v>
      </c>
      <c r="K299" s="4" t="s">
        <v>300</v>
      </c>
      <c r="L299" s="4" t="s">
        <v>301</v>
      </c>
    </row>
    <row r="300" spans="1:12" ht="28.8" x14ac:dyDescent="0.3">
      <c r="A300" s="3" t="s">
        <v>146</v>
      </c>
      <c r="B300" s="4" t="s">
        <v>20</v>
      </c>
      <c r="C300" s="4" t="s">
        <v>124</v>
      </c>
      <c r="D300" s="4" t="s">
        <v>268</v>
      </c>
      <c r="E300" s="4" t="s">
        <v>304</v>
      </c>
      <c r="F300" s="4" t="s">
        <v>305</v>
      </c>
      <c r="G300" s="7">
        <v>2017</v>
      </c>
      <c r="H300" s="6">
        <v>0.4</v>
      </c>
      <c r="I300" s="4" t="s">
        <v>298</v>
      </c>
      <c r="J300" s="4" t="s">
        <v>306</v>
      </c>
      <c r="K300" s="4" t="s">
        <v>300</v>
      </c>
      <c r="L300" s="4" t="s">
        <v>307</v>
      </c>
    </row>
    <row r="301" spans="1:12" ht="28.8" x14ac:dyDescent="0.3">
      <c r="A301" s="3" t="s">
        <v>146</v>
      </c>
      <c r="B301" s="4" t="s">
        <v>20</v>
      </c>
      <c r="C301" s="4" t="s">
        <v>124</v>
      </c>
      <c r="D301" s="4" t="s">
        <v>268</v>
      </c>
      <c r="E301" s="4" t="s">
        <v>308</v>
      </c>
      <c r="F301" s="4" t="s">
        <v>309</v>
      </c>
      <c r="G301" s="7">
        <v>2017</v>
      </c>
      <c r="H301" s="6">
        <v>20.399999999999999</v>
      </c>
      <c r="I301" s="4" t="s">
        <v>298</v>
      </c>
      <c r="J301" s="4" t="s">
        <v>216</v>
      </c>
      <c r="K301" s="4" t="s">
        <v>310</v>
      </c>
      <c r="L301" s="4" t="s">
        <v>311</v>
      </c>
    </row>
    <row r="302" spans="1:12" ht="28.8" x14ac:dyDescent="0.3">
      <c r="A302" s="3" t="s">
        <v>148</v>
      </c>
      <c r="B302" s="4" t="s">
        <v>20</v>
      </c>
      <c r="C302" s="4" t="s">
        <v>124</v>
      </c>
      <c r="D302" s="4" t="s">
        <v>269</v>
      </c>
      <c r="E302" s="4" t="s">
        <v>207</v>
      </c>
      <c r="F302" s="4" t="s">
        <v>293</v>
      </c>
      <c r="G302" s="7">
        <v>2026</v>
      </c>
      <c r="H302" s="6">
        <v>2261</v>
      </c>
      <c r="I302" s="4" t="s">
        <v>294</v>
      </c>
      <c r="J302" s="4" t="s">
        <v>215</v>
      </c>
      <c r="K302" s="4" t="s">
        <v>211</v>
      </c>
      <c r="L302" s="4" t="s">
        <v>295</v>
      </c>
    </row>
    <row r="303" spans="1:12" ht="28.8" x14ac:dyDescent="0.3">
      <c r="A303" s="3" t="s">
        <v>148</v>
      </c>
      <c r="B303" s="4" t="s">
        <v>20</v>
      </c>
      <c r="C303" s="4" t="s">
        <v>124</v>
      </c>
      <c r="D303" s="4" t="s">
        <v>269</v>
      </c>
      <c r="E303" s="4" t="s">
        <v>296</v>
      </c>
      <c r="F303" s="4" t="s">
        <v>297</v>
      </c>
      <c r="G303" s="7">
        <v>2017</v>
      </c>
      <c r="H303" s="6">
        <v>79.8</v>
      </c>
      <c r="I303" s="4" t="s">
        <v>298</v>
      </c>
      <c r="J303" s="4" t="s">
        <v>299</v>
      </c>
      <c r="K303" s="4" t="s">
        <v>300</v>
      </c>
      <c r="L303" s="4" t="s">
        <v>301</v>
      </c>
    </row>
    <row r="304" spans="1:12" ht="28.8" x14ac:dyDescent="0.3">
      <c r="A304" s="3" t="s">
        <v>148</v>
      </c>
      <c r="B304" s="4" t="s">
        <v>20</v>
      </c>
      <c r="C304" s="4" t="s">
        <v>124</v>
      </c>
      <c r="D304" s="4" t="s">
        <v>269</v>
      </c>
      <c r="E304" s="4" t="s">
        <v>296</v>
      </c>
      <c r="F304" s="4" t="s">
        <v>302</v>
      </c>
      <c r="G304" s="7">
        <v>2017</v>
      </c>
      <c r="H304" s="6">
        <v>26</v>
      </c>
      <c r="I304" s="4" t="s">
        <v>298</v>
      </c>
      <c r="J304" s="4" t="s">
        <v>303</v>
      </c>
      <c r="K304" s="4" t="s">
        <v>300</v>
      </c>
      <c r="L304" s="4" t="s">
        <v>301</v>
      </c>
    </row>
    <row r="305" spans="1:12" ht="28.8" x14ac:dyDescent="0.3">
      <c r="A305" s="3" t="s">
        <v>148</v>
      </c>
      <c r="B305" s="4" t="s">
        <v>20</v>
      </c>
      <c r="C305" s="4" t="s">
        <v>124</v>
      </c>
      <c r="D305" s="4" t="s">
        <v>269</v>
      </c>
      <c r="E305" s="4" t="s">
        <v>304</v>
      </c>
      <c r="F305" s="4" t="s">
        <v>305</v>
      </c>
      <c r="G305" s="7">
        <v>2017</v>
      </c>
      <c r="H305" s="6">
        <v>0.2</v>
      </c>
      <c r="I305" s="4" t="s">
        <v>298</v>
      </c>
      <c r="J305" s="4" t="s">
        <v>306</v>
      </c>
      <c r="K305" s="4" t="s">
        <v>300</v>
      </c>
      <c r="L305" s="4" t="s">
        <v>307</v>
      </c>
    </row>
    <row r="306" spans="1:12" ht="28.8" x14ac:dyDescent="0.3">
      <c r="A306" s="3" t="s">
        <v>148</v>
      </c>
      <c r="B306" s="4" t="s">
        <v>20</v>
      </c>
      <c r="C306" s="4" t="s">
        <v>124</v>
      </c>
      <c r="D306" s="4" t="s">
        <v>269</v>
      </c>
      <c r="E306" s="4" t="s">
        <v>308</v>
      </c>
      <c r="F306" s="4" t="s">
        <v>309</v>
      </c>
      <c r="G306" s="7">
        <v>2017</v>
      </c>
      <c r="H306" s="6">
        <v>23.2</v>
      </c>
      <c r="I306" s="4" t="s">
        <v>298</v>
      </c>
      <c r="J306" s="4" t="s">
        <v>216</v>
      </c>
      <c r="K306" s="4" t="s">
        <v>310</v>
      </c>
      <c r="L306" s="4" t="s">
        <v>311</v>
      </c>
    </row>
    <row r="307" spans="1:12" ht="28.8" x14ac:dyDescent="0.3">
      <c r="A307" s="3" t="s">
        <v>150</v>
      </c>
      <c r="B307" s="4" t="s">
        <v>20</v>
      </c>
      <c r="C307" s="4" t="s">
        <v>151</v>
      </c>
      <c r="D307" s="4" t="s">
        <v>270</v>
      </c>
      <c r="E307" s="4" t="s">
        <v>207</v>
      </c>
      <c r="F307" s="4" t="s">
        <v>293</v>
      </c>
      <c r="G307" s="7">
        <v>2026</v>
      </c>
      <c r="H307" s="6">
        <v>91478</v>
      </c>
      <c r="I307" s="4" t="s">
        <v>294</v>
      </c>
      <c r="J307" s="4" t="s">
        <v>215</v>
      </c>
      <c r="K307" s="4" t="s">
        <v>211</v>
      </c>
      <c r="L307" s="4" t="s">
        <v>295</v>
      </c>
    </row>
    <row r="308" spans="1:12" ht="28.8" x14ac:dyDescent="0.3">
      <c r="A308" s="3" t="s">
        <v>150</v>
      </c>
      <c r="B308" s="4" t="s">
        <v>20</v>
      </c>
      <c r="C308" s="4" t="s">
        <v>151</v>
      </c>
      <c r="D308" s="4" t="s">
        <v>270</v>
      </c>
      <c r="E308" s="4" t="s">
        <v>296</v>
      </c>
      <c r="F308" s="4" t="s">
        <v>297</v>
      </c>
      <c r="G308" s="7">
        <v>2017</v>
      </c>
      <c r="H308" s="6">
        <v>81.400000000000006</v>
      </c>
      <c r="I308" s="4" t="s">
        <v>298</v>
      </c>
      <c r="J308" s="4" t="s">
        <v>299</v>
      </c>
      <c r="K308" s="4" t="s">
        <v>300</v>
      </c>
      <c r="L308" s="4" t="s">
        <v>301</v>
      </c>
    </row>
    <row r="309" spans="1:12" ht="28.8" x14ac:dyDescent="0.3">
      <c r="A309" s="3" t="s">
        <v>150</v>
      </c>
      <c r="B309" s="4" t="s">
        <v>20</v>
      </c>
      <c r="C309" s="4" t="s">
        <v>151</v>
      </c>
      <c r="D309" s="4" t="s">
        <v>270</v>
      </c>
      <c r="E309" s="4" t="s">
        <v>296</v>
      </c>
      <c r="F309" s="4" t="s">
        <v>302</v>
      </c>
      <c r="G309" s="7">
        <v>2017</v>
      </c>
      <c r="H309" s="6">
        <v>57.7</v>
      </c>
      <c r="I309" s="4" t="s">
        <v>298</v>
      </c>
      <c r="J309" s="4" t="s">
        <v>303</v>
      </c>
      <c r="K309" s="4" t="s">
        <v>300</v>
      </c>
      <c r="L309" s="4" t="s">
        <v>301</v>
      </c>
    </row>
    <row r="310" spans="1:12" ht="28.8" x14ac:dyDescent="0.3">
      <c r="A310" s="3" t="s">
        <v>150</v>
      </c>
      <c r="B310" s="4" t="s">
        <v>20</v>
      </c>
      <c r="C310" s="4" t="s">
        <v>151</v>
      </c>
      <c r="D310" s="4" t="s">
        <v>270</v>
      </c>
      <c r="E310" s="4" t="s">
        <v>304</v>
      </c>
      <c r="F310" s="4" t="s">
        <v>305</v>
      </c>
      <c r="G310" s="7">
        <v>2017</v>
      </c>
      <c r="H310" s="6">
        <v>7.4</v>
      </c>
      <c r="I310" s="4" t="s">
        <v>298</v>
      </c>
      <c r="J310" s="4" t="s">
        <v>306</v>
      </c>
      <c r="K310" s="4" t="s">
        <v>300</v>
      </c>
      <c r="L310" s="4" t="s">
        <v>307</v>
      </c>
    </row>
    <row r="311" spans="1:12" ht="28.8" x14ac:dyDescent="0.3">
      <c r="A311" s="3" t="s">
        <v>150</v>
      </c>
      <c r="B311" s="4" t="s">
        <v>20</v>
      </c>
      <c r="C311" s="4" t="s">
        <v>151</v>
      </c>
      <c r="D311" s="4" t="s">
        <v>270</v>
      </c>
      <c r="E311" s="4" t="s">
        <v>308</v>
      </c>
      <c r="F311" s="4" t="s">
        <v>309</v>
      </c>
      <c r="G311" s="7">
        <v>2017</v>
      </c>
      <c r="H311" s="6">
        <v>17</v>
      </c>
      <c r="I311" s="4" t="s">
        <v>298</v>
      </c>
      <c r="J311" s="4" t="s">
        <v>216</v>
      </c>
      <c r="K311" s="4" t="s">
        <v>310</v>
      </c>
      <c r="L311" s="4" t="s">
        <v>311</v>
      </c>
    </row>
    <row r="312" spans="1:12" ht="28.8" x14ac:dyDescent="0.3">
      <c r="A312" s="3" t="s">
        <v>153</v>
      </c>
      <c r="B312" s="4" t="s">
        <v>20</v>
      </c>
      <c r="C312" s="4" t="s">
        <v>151</v>
      </c>
      <c r="D312" s="4" t="s">
        <v>271</v>
      </c>
      <c r="E312" s="4" t="s">
        <v>207</v>
      </c>
      <c r="F312" s="4" t="s">
        <v>293</v>
      </c>
      <c r="G312" s="7">
        <v>2026</v>
      </c>
      <c r="H312" s="6">
        <v>20064</v>
      </c>
      <c r="I312" s="4" t="s">
        <v>294</v>
      </c>
      <c r="J312" s="4" t="s">
        <v>215</v>
      </c>
      <c r="K312" s="4" t="s">
        <v>211</v>
      </c>
      <c r="L312" s="4" t="s">
        <v>295</v>
      </c>
    </row>
    <row r="313" spans="1:12" ht="28.8" x14ac:dyDescent="0.3">
      <c r="A313" s="3" t="s">
        <v>153</v>
      </c>
      <c r="B313" s="4" t="s">
        <v>20</v>
      </c>
      <c r="C313" s="4" t="s">
        <v>151</v>
      </c>
      <c r="D313" s="4" t="s">
        <v>271</v>
      </c>
      <c r="E313" s="4" t="s">
        <v>296</v>
      </c>
      <c r="F313" s="4" t="s">
        <v>297</v>
      </c>
      <c r="G313" s="7">
        <v>2017</v>
      </c>
      <c r="H313" s="6">
        <v>38.299999999999997</v>
      </c>
      <c r="I313" s="4" t="s">
        <v>298</v>
      </c>
      <c r="J313" s="4" t="s">
        <v>299</v>
      </c>
      <c r="K313" s="4" t="s">
        <v>300</v>
      </c>
      <c r="L313" s="4" t="s">
        <v>301</v>
      </c>
    </row>
    <row r="314" spans="1:12" ht="28.8" x14ac:dyDescent="0.3">
      <c r="A314" s="3" t="s">
        <v>153</v>
      </c>
      <c r="B314" s="4" t="s">
        <v>20</v>
      </c>
      <c r="C314" s="4" t="s">
        <v>151</v>
      </c>
      <c r="D314" s="4" t="s">
        <v>271</v>
      </c>
      <c r="E314" s="4" t="s">
        <v>296</v>
      </c>
      <c r="F314" s="4" t="s">
        <v>302</v>
      </c>
      <c r="G314" s="7">
        <v>2017</v>
      </c>
      <c r="H314" s="6">
        <v>14.7</v>
      </c>
      <c r="I314" s="4" t="s">
        <v>298</v>
      </c>
      <c r="J314" s="4" t="s">
        <v>303</v>
      </c>
      <c r="K314" s="4" t="s">
        <v>300</v>
      </c>
      <c r="L314" s="4" t="s">
        <v>301</v>
      </c>
    </row>
    <row r="315" spans="1:12" ht="28.8" x14ac:dyDescent="0.3">
      <c r="A315" s="3" t="s">
        <v>153</v>
      </c>
      <c r="B315" s="4" t="s">
        <v>20</v>
      </c>
      <c r="C315" s="4" t="s">
        <v>151</v>
      </c>
      <c r="D315" s="4" t="s">
        <v>271</v>
      </c>
      <c r="E315" s="4" t="s">
        <v>304</v>
      </c>
      <c r="F315" s="4" t="s">
        <v>305</v>
      </c>
      <c r="G315" s="7">
        <v>2017</v>
      </c>
      <c r="H315" s="6">
        <v>2.5</v>
      </c>
      <c r="I315" s="4" t="s">
        <v>298</v>
      </c>
      <c r="J315" s="4" t="s">
        <v>306</v>
      </c>
      <c r="K315" s="4" t="s">
        <v>300</v>
      </c>
      <c r="L315" s="4" t="s">
        <v>307</v>
      </c>
    </row>
    <row r="316" spans="1:12" ht="28.8" x14ac:dyDescent="0.3">
      <c r="A316" s="3" t="s">
        <v>153</v>
      </c>
      <c r="B316" s="4" t="s">
        <v>20</v>
      </c>
      <c r="C316" s="4" t="s">
        <v>151</v>
      </c>
      <c r="D316" s="4" t="s">
        <v>271</v>
      </c>
      <c r="E316" s="4" t="s">
        <v>308</v>
      </c>
      <c r="F316" s="4" t="s">
        <v>309</v>
      </c>
      <c r="G316" s="7">
        <v>2017</v>
      </c>
      <c r="H316" s="6">
        <v>25.6</v>
      </c>
      <c r="I316" s="4" t="s">
        <v>298</v>
      </c>
      <c r="J316" s="4" t="s">
        <v>216</v>
      </c>
      <c r="K316" s="4" t="s">
        <v>310</v>
      </c>
      <c r="L316" s="4" t="s">
        <v>311</v>
      </c>
    </row>
    <row r="317" spans="1:12" ht="28.8" x14ac:dyDescent="0.3">
      <c r="A317" s="3" t="s">
        <v>155</v>
      </c>
      <c r="B317" s="4" t="s">
        <v>20</v>
      </c>
      <c r="C317" s="4" t="s">
        <v>151</v>
      </c>
      <c r="D317" s="4" t="s">
        <v>272</v>
      </c>
      <c r="E317" s="4" t="s">
        <v>207</v>
      </c>
      <c r="F317" s="4" t="s">
        <v>293</v>
      </c>
      <c r="G317" s="7">
        <v>2026</v>
      </c>
      <c r="H317" s="6">
        <v>10506</v>
      </c>
      <c r="I317" s="4" t="s">
        <v>294</v>
      </c>
      <c r="J317" s="4" t="s">
        <v>215</v>
      </c>
      <c r="K317" s="4" t="s">
        <v>211</v>
      </c>
      <c r="L317" s="4" t="s">
        <v>295</v>
      </c>
    </row>
    <row r="318" spans="1:12" ht="28.8" x14ac:dyDescent="0.3">
      <c r="A318" s="3" t="s">
        <v>155</v>
      </c>
      <c r="B318" s="4" t="s">
        <v>20</v>
      </c>
      <c r="C318" s="4" t="s">
        <v>151</v>
      </c>
      <c r="D318" s="4" t="s">
        <v>272</v>
      </c>
      <c r="E318" s="4" t="s">
        <v>296</v>
      </c>
      <c r="F318" s="4" t="s">
        <v>297</v>
      </c>
      <c r="G318" s="7">
        <v>2017</v>
      </c>
      <c r="H318" s="6">
        <v>74.900000000000006</v>
      </c>
      <c r="I318" s="4" t="s">
        <v>298</v>
      </c>
      <c r="J318" s="4" t="s">
        <v>299</v>
      </c>
      <c r="K318" s="4" t="s">
        <v>300</v>
      </c>
      <c r="L318" s="4" t="s">
        <v>301</v>
      </c>
    </row>
    <row r="319" spans="1:12" ht="28.8" x14ac:dyDescent="0.3">
      <c r="A319" s="3" t="s">
        <v>155</v>
      </c>
      <c r="B319" s="4" t="s">
        <v>20</v>
      </c>
      <c r="C319" s="4" t="s">
        <v>151</v>
      </c>
      <c r="D319" s="4" t="s">
        <v>272</v>
      </c>
      <c r="E319" s="4" t="s">
        <v>296</v>
      </c>
      <c r="F319" s="4" t="s">
        <v>302</v>
      </c>
      <c r="G319" s="7">
        <v>2017</v>
      </c>
      <c r="H319" s="6">
        <v>22</v>
      </c>
      <c r="I319" s="4" t="s">
        <v>298</v>
      </c>
      <c r="J319" s="4" t="s">
        <v>303</v>
      </c>
      <c r="K319" s="4" t="s">
        <v>300</v>
      </c>
      <c r="L319" s="4" t="s">
        <v>301</v>
      </c>
    </row>
    <row r="320" spans="1:12" ht="28.8" x14ac:dyDescent="0.3">
      <c r="A320" s="3" t="s">
        <v>155</v>
      </c>
      <c r="B320" s="4" t="s">
        <v>20</v>
      </c>
      <c r="C320" s="4" t="s">
        <v>151</v>
      </c>
      <c r="D320" s="4" t="s">
        <v>272</v>
      </c>
      <c r="E320" s="4" t="s">
        <v>304</v>
      </c>
      <c r="F320" s="4" t="s">
        <v>305</v>
      </c>
      <c r="G320" s="7">
        <v>2017</v>
      </c>
      <c r="H320" s="6">
        <v>0.2</v>
      </c>
      <c r="I320" s="4" t="s">
        <v>298</v>
      </c>
      <c r="J320" s="4" t="s">
        <v>306</v>
      </c>
      <c r="K320" s="4" t="s">
        <v>300</v>
      </c>
      <c r="L320" s="4" t="s">
        <v>307</v>
      </c>
    </row>
    <row r="321" spans="1:12" ht="28.8" x14ac:dyDescent="0.3">
      <c r="A321" s="3" t="s">
        <v>155</v>
      </c>
      <c r="B321" s="4" t="s">
        <v>20</v>
      </c>
      <c r="C321" s="4" t="s">
        <v>151</v>
      </c>
      <c r="D321" s="4" t="s">
        <v>272</v>
      </c>
      <c r="E321" s="4" t="s">
        <v>308</v>
      </c>
      <c r="F321" s="4" t="s">
        <v>309</v>
      </c>
      <c r="G321" s="7">
        <v>2017</v>
      </c>
      <c r="H321" s="6">
        <v>21.8</v>
      </c>
      <c r="I321" s="4" t="s">
        <v>298</v>
      </c>
      <c r="J321" s="4" t="s">
        <v>216</v>
      </c>
      <c r="K321" s="4" t="s">
        <v>310</v>
      </c>
      <c r="L321" s="4" t="s">
        <v>311</v>
      </c>
    </row>
    <row r="322" spans="1:12" ht="28.8" x14ac:dyDescent="0.3">
      <c r="A322" s="3" t="s">
        <v>157</v>
      </c>
      <c r="B322" s="4" t="s">
        <v>20</v>
      </c>
      <c r="C322" s="4" t="s">
        <v>151</v>
      </c>
      <c r="D322" s="4" t="s">
        <v>273</v>
      </c>
      <c r="E322" s="4" t="s">
        <v>207</v>
      </c>
      <c r="F322" s="4" t="s">
        <v>293</v>
      </c>
      <c r="G322" s="7">
        <v>2026</v>
      </c>
      <c r="H322" s="6">
        <v>9002</v>
      </c>
      <c r="I322" s="4" t="s">
        <v>294</v>
      </c>
      <c r="J322" s="4" t="s">
        <v>215</v>
      </c>
      <c r="K322" s="4" t="s">
        <v>211</v>
      </c>
      <c r="L322" s="4" t="s">
        <v>295</v>
      </c>
    </row>
    <row r="323" spans="1:12" ht="28.8" x14ac:dyDescent="0.3">
      <c r="A323" s="3" t="s">
        <v>157</v>
      </c>
      <c r="B323" s="4" t="s">
        <v>20</v>
      </c>
      <c r="C323" s="4" t="s">
        <v>151</v>
      </c>
      <c r="D323" s="4" t="s">
        <v>273</v>
      </c>
      <c r="E323" s="4" t="s">
        <v>296</v>
      </c>
      <c r="F323" s="4" t="s">
        <v>297</v>
      </c>
      <c r="G323" s="7">
        <v>2017</v>
      </c>
      <c r="H323" s="6">
        <v>71.099999999999994</v>
      </c>
      <c r="I323" s="4" t="s">
        <v>298</v>
      </c>
      <c r="J323" s="4" t="s">
        <v>299</v>
      </c>
      <c r="K323" s="4" t="s">
        <v>300</v>
      </c>
      <c r="L323" s="4" t="s">
        <v>301</v>
      </c>
    </row>
    <row r="324" spans="1:12" ht="28.8" x14ac:dyDescent="0.3">
      <c r="A324" s="3" t="s">
        <v>157</v>
      </c>
      <c r="B324" s="4" t="s">
        <v>20</v>
      </c>
      <c r="C324" s="4" t="s">
        <v>151</v>
      </c>
      <c r="D324" s="4" t="s">
        <v>273</v>
      </c>
      <c r="E324" s="4" t="s">
        <v>296</v>
      </c>
      <c r="F324" s="4" t="s">
        <v>302</v>
      </c>
      <c r="G324" s="7">
        <v>2017</v>
      </c>
      <c r="H324" s="6">
        <v>26.5</v>
      </c>
      <c r="I324" s="4" t="s">
        <v>298</v>
      </c>
      <c r="J324" s="4" t="s">
        <v>303</v>
      </c>
      <c r="K324" s="4" t="s">
        <v>300</v>
      </c>
      <c r="L324" s="4" t="s">
        <v>301</v>
      </c>
    </row>
    <row r="325" spans="1:12" ht="28.8" x14ac:dyDescent="0.3">
      <c r="A325" s="3" t="s">
        <v>157</v>
      </c>
      <c r="B325" s="4" t="s">
        <v>20</v>
      </c>
      <c r="C325" s="4" t="s">
        <v>151</v>
      </c>
      <c r="D325" s="4" t="s">
        <v>273</v>
      </c>
      <c r="E325" s="4" t="s">
        <v>304</v>
      </c>
      <c r="F325" s="4" t="s">
        <v>305</v>
      </c>
      <c r="G325" s="7">
        <v>2017</v>
      </c>
      <c r="H325" s="6">
        <v>0.6</v>
      </c>
      <c r="I325" s="4" t="s">
        <v>298</v>
      </c>
      <c r="J325" s="4" t="s">
        <v>306</v>
      </c>
      <c r="K325" s="4" t="s">
        <v>300</v>
      </c>
      <c r="L325" s="4" t="s">
        <v>307</v>
      </c>
    </row>
    <row r="326" spans="1:12" ht="28.8" x14ac:dyDescent="0.3">
      <c r="A326" s="3" t="s">
        <v>157</v>
      </c>
      <c r="B326" s="4" t="s">
        <v>20</v>
      </c>
      <c r="C326" s="4" t="s">
        <v>151</v>
      </c>
      <c r="D326" s="4" t="s">
        <v>273</v>
      </c>
      <c r="E326" s="4" t="s">
        <v>308</v>
      </c>
      <c r="F326" s="4" t="s">
        <v>309</v>
      </c>
      <c r="G326" s="7">
        <v>2017</v>
      </c>
      <c r="H326" s="6">
        <v>22.5</v>
      </c>
      <c r="I326" s="4" t="s">
        <v>298</v>
      </c>
      <c r="J326" s="4" t="s">
        <v>216</v>
      </c>
      <c r="K326" s="4" t="s">
        <v>310</v>
      </c>
      <c r="L326" s="4" t="s">
        <v>311</v>
      </c>
    </row>
    <row r="327" spans="1:12" ht="28.8" x14ac:dyDescent="0.3">
      <c r="A327" s="3" t="s">
        <v>159</v>
      </c>
      <c r="B327" s="4" t="s">
        <v>20</v>
      </c>
      <c r="C327" s="4" t="s">
        <v>151</v>
      </c>
      <c r="D327" s="4" t="s">
        <v>274</v>
      </c>
      <c r="E327" s="4" t="s">
        <v>207</v>
      </c>
      <c r="F327" s="4" t="s">
        <v>293</v>
      </c>
      <c r="G327" s="7">
        <v>2026</v>
      </c>
      <c r="H327" s="6">
        <v>9912</v>
      </c>
      <c r="I327" s="4" t="s">
        <v>294</v>
      </c>
      <c r="J327" s="4" t="s">
        <v>215</v>
      </c>
      <c r="K327" s="4" t="s">
        <v>211</v>
      </c>
      <c r="L327" s="4" t="s">
        <v>295</v>
      </c>
    </row>
    <row r="328" spans="1:12" ht="28.8" x14ac:dyDescent="0.3">
      <c r="A328" s="3" t="s">
        <v>159</v>
      </c>
      <c r="B328" s="4" t="s">
        <v>20</v>
      </c>
      <c r="C328" s="4" t="s">
        <v>151</v>
      </c>
      <c r="D328" s="4" t="s">
        <v>274</v>
      </c>
      <c r="E328" s="4" t="s">
        <v>296</v>
      </c>
      <c r="F328" s="4" t="s">
        <v>297</v>
      </c>
      <c r="G328" s="7">
        <v>2017</v>
      </c>
      <c r="H328" s="6">
        <v>63.3</v>
      </c>
      <c r="I328" s="4" t="s">
        <v>298</v>
      </c>
      <c r="J328" s="4" t="s">
        <v>299</v>
      </c>
      <c r="K328" s="4" t="s">
        <v>300</v>
      </c>
      <c r="L328" s="4" t="s">
        <v>301</v>
      </c>
    </row>
    <row r="329" spans="1:12" ht="28.8" x14ac:dyDescent="0.3">
      <c r="A329" s="3" t="s">
        <v>159</v>
      </c>
      <c r="B329" s="4" t="s">
        <v>20</v>
      </c>
      <c r="C329" s="4" t="s">
        <v>151</v>
      </c>
      <c r="D329" s="4" t="s">
        <v>274</v>
      </c>
      <c r="E329" s="4" t="s">
        <v>296</v>
      </c>
      <c r="F329" s="4" t="s">
        <v>302</v>
      </c>
      <c r="G329" s="7">
        <v>2017</v>
      </c>
      <c r="H329" s="6">
        <v>7.3</v>
      </c>
      <c r="I329" s="4" t="s">
        <v>298</v>
      </c>
      <c r="J329" s="4" t="s">
        <v>303</v>
      </c>
      <c r="K329" s="4" t="s">
        <v>300</v>
      </c>
      <c r="L329" s="4" t="s">
        <v>301</v>
      </c>
    </row>
    <row r="330" spans="1:12" ht="28.8" x14ac:dyDescent="0.3">
      <c r="A330" s="3" t="s">
        <v>159</v>
      </c>
      <c r="B330" s="4" t="s">
        <v>20</v>
      </c>
      <c r="C330" s="4" t="s">
        <v>151</v>
      </c>
      <c r="D330" s="4" t="s">
        <v>274</v>
      </c>
      <c r="E330" s="4" t="s">
        <v>304</v>
      </c>
      <c r="F330" s="4" t="s">
        <v>305</v>
      </c>
      <c r="G330" s="7">
        <v>2017</v>
      </c>
      <c r="H330" s="6">
        <v>0.7</v>
      </c>
      <c r="I330" s="4" t="s">
        <v>298</v>
      </c>
      <c r="J330" s="4" t="s">
        <v>306</v>
      </c>
      <c r="K330" s="4" t="s">
        <v>300</v>
      </c>
      <c r="L330" s="4" t="s">
        <v>307</v>
      </c>
    </row>
    <row r="331" spans="1:12" ht="28.8" x14ac:dyDescent="0.3">
      <c r="A331" s="3" t="s">
        <v>159</v>
      </c>
      <c r="B331" s="4" t="s">
        <v>20</v>
      </c>
      <c r="C331" s="4" t="s">
        <v>151</v>
      </c>
      <c r="D331" s="4" t="s">
        <v>274</v>
      </c>
      <c r="E331" s="4" t="s">
        <v>308</v>
      </c>
      <c r="F331" s="4" t="s">
        <v>309</v>
      </c>
      <c r="G331" s="7">
        <v>2017</v>
      </c>
      <c r="H331" s="6">
        <v>31.6</v>
      </c>
      <c r="I331" s="4" t="s">
        <v>298</v>
      </c>
      <c r="J331" s="4" t="s">
        <v>216</v>
      </c>
      <c r="K331" s="4" t="s">
        <v>310</v>
      </c>
      <c r="L331" s="4" t="s">
        <v>311</v>
      </c>
    </row>
    <row r="332" spans="1:12" ht="28.8" x14ac:dyDescent="0.3">
      <c r="A332" s="3" t="s">
        <v>161</v>
      </c>
      <c r="B332" s="4" t="s">
        <v>20</v>
      </c>
      <c r="C332" s="4" t="s">
        <v>151</v>
      </c>
      <c r="D332" s="4" t="s">
        <v>275</v>
      </c>
      <c r="E332" s="4" t="s">
        <v>207</v>
      </c>
      <c r="F332" s="4" t="s">
        <v>293</v>
      </c>
      <c r="G332" s="7">
        <v>2026</v>
      </c>
      <c r="H332" s="6">
        <v>15538</v>
      </c>
      <c r="I332" s="4" t="s">
        <v>294</v>
      </c>
      <c r="J332" s="4" t="s">
        <v>215</v>
      </c>
      <c r="K332" s="4" t="s">
        <v>211</v>
      </c>
      <c r="L332" s="4" t="s">
        <v>295</v>
      </c>
    </row>
    <row r="333" spans="1:12" ht="28.8" x14ac:dyDescent="0.3">
      <c r="A333" s="3" t="s">
        <v>161</v>
      </c>
      <c r="B333" s="4" t="s">
        <v>20</v>
      </c>
      <c r="C333" s="4" t="s">
        <v>151</v>
      </c>
      <c r="D333" s="4" t="s">
        <v>275</v>
      </c>
      <c r="E333" s="4" t="s">
        <v>296</v>
      </c>
      <c r="F333" s="4" t="s">
        <v>297</v>
      </c>
      <c r="G333" s="7">
        <v>2017</v>
      </c>
      <c r="H333" s="6">
        <v>14.5</v>
      </c>
      <c r="I333" s="4" t="s">
        <v>298</v>
      </c>
      <c r="J333" s="4" t="s">
        <v>299</v>
      </c>
      <c r="K333" s="4" t="s">
        <v>300</v>
      </c>
      <c r="L333" s="4" t="s">
        <v>301</v>
      </c>
    </row>
    <row r="334" spans="1:12" ht="28.8" x14ac:dyDescent="0.3">
      <c r="A334" s="3" t="s">
        <v>161</v>
      </c>
      <c r="B334" s="4" t="s">
        <v>20</v>
      </c>
      <c r="C334" s="4" t="s">
        <v>151</v>
      </c>
      <c r="D334" s="4" t="s">
        <v>275</v>
      </c>
      <c r="E334" s="4" t="s">
        <v>296</v>
      </c>
      <c r="F334" s="4" t="s">
        <v>302</v>
      </c>
      <c r="G334" s="7">
        <v>2017</v>
      </c>
      <c r="H334" s="6">
        <v>3.7</v>
      </c>
      <c r="I334" s="4" t="s">
        <v>298</v>
      </c>
      <c r="J334" s="4" t="s">
        <v>303</v>
      </c>
      <c r="K334" s="4" t="s">
        <v>300</v>
      </c>
      <c r="L334" s="4" t="s">
        <v>301</v>
      </c>
    </row>
    <row r="335" spans="1:12" ht="28.8" x14ac:dyDescent="0.3">
      <c r="A335" s="3" t="s">
        <v>161</v>
      </c>
      <c r="B335" s="4" t="s">
        <v>20</v>
      </c>
      <c r="C335" s="4" t="s">
        <v>151</v>
      </c>
      <c r="D335" s="4" t="s">
        <v>275</v>
      </c>
      <c r="E335" s="4" t="s">
        <v>304</v>
      </c>
      <c r="F335" s="4" t="s">
        <v>305</v>
      </c>
      <c r="G335" s="7">
        <v>2017</v>
      </c>
      <c r="H335" s="6">
        <v>0.3</v>
      </c>
      <c r="I335" s="4" t="s">
        <v>298</v>
      </c>
      <c r="J335" s="4" t="s">
        <v>306</v>
      </c>
      <c r="K335" s="4" t="s">
        <v>300</v>
      </c>
      <c r="L335" s="4" t="s">
        <v>307</v>
      </c>
    </row>
    <row r="336" spans="1:12" ht="28.8" x14ac:dyDescent="0.3">
      <c r="A336" s="3" t="s">
        <v>161</v>
      </c>
      <c r="B336" s="4" t="s">
        <v>20</v>
      </c>
      <c r="C336" s="4" t="s">
        <v>151</v>
      </c>
      <c r="D336" s="4" t="s">
        <v>275</v>
      </c>
      <c r="E336" s="4" t="s">
        <v>308</v>
      </c>
      <c r="F336" s="4" t="s">
        <v>309</v>
      </c>
      <c r="G336" s="7">
        <v>2017</v>
      </c>
      <c r="H336" s="6">
        <v>31.3</v>
      </c>
      <c r="I336" s="4" t="s">
        <v>298</v>
      </c>
      <c r="J336" s="4" t="s">
        <v>216</v>
      </c>
      <c r="K336" s="4" t="s">
        <v>310</v>
      </c>
      <c r="L336" s="4" t="s">
        <v>311</v>
      </c>
    </row>
    <row r="337" spans="1:12" ht="28.8" x14ac:dyDescent="0.3">
      <c r="A337" s="3" t="s">
        <v>163</v>
      </c>
      <c r="B337" s="4" t="s">
        <v>20</v>
      </c>
      <c r="C337" s="4" t="s">
        <v>151</v>
      </c>
      <c r="D337" s="4" t="s">
        <v>276</v>
      </c>
      <c r="E337" s="4" t="s">
        <v>207</v>
      </c>
      <c r="F337" s="4" t="s">
        <v>293</v>
      </c>
      <c r="G337" s="7">
        <v>2026</v>
      </c>
      <c r="H337" s="6">
        <v>10156</v>
      </c>
      <c r="I337" s="4" t="s">
        <v>294</v>
      </c>
      <c r="J337" s="4" t="s">
        <v>215</v>
      </c>
      <c r="K337" s="4" t="s">
        <v>211</v>
      </c>
      <c r="L337" s="4" t="s">
        <v>295</v>
      </c>
    </row>
    <row r="338" spans="1:12" ht="28.8" x14ac:dyDescent="0.3">
      <c r="A338" s="3" t="s">
        <v>163</v>
      </c>
      <c r="B338" s="4" t="s">
        <v>20</v>
      </c>
      <c r="C338" s="4" t="s">
        <v>151</v>
      </c>
      <c r="D338" s="4" t="s">
        <v>276</v>
      </c>
      <c r="E338" s="4" t="s">
        <v>296</v>
      </c>
      <c r="F338" s="4" t="s">
        <v>297</v>
      </c>
      <c r="G338" s="7">
        <v>2017</v>
      </c>
      <c r="H338" s="6">
        <v>66.2</v>
      </c>
      <c r="I338" s="4" t="s">
        <v>298</v>
      </c>
      <c r="J338" s="4" t="s">
        <v>299</v>
      </c>
      <c r="K338" s="4" t="s">
        <v>300</v>
      </c>
      <c r="L338" s="4" t="s">
        <v>301</v>
      </c>
    </row>
    <row r="339" spans="1:12" ht="28.8" x14ac:dyDescent="0.3">
      <c r="A339" s="3" t="s">
        <v>163</v>
      </c>
      <c r="B339" s="4" t="s">
        <v>20</v>
      </c>
      <c r="C339" s="4" t="s">
        <v>151</v>
      </c>
      <c r="D339" s="4" t="s">
        <v>276</v>
      </c>
      <c r="E339" s="4" t="s">
        <v>296</v>
      </c>
      <c r="F339" s="4" t="s">
        <v>302</v>
      </c>
      <c r="G339" s="7">
        <v>2017</v>
      </c>
      <c r="H339" s="6">
        <v>29.1</v>
      </c>
      <c r="I339" s="4" t="s">
        <v>298</v>
      </c>
      <c r="J339" s="4" t="s">
        <v>303</v>
      </c>
      <c r="K339" s="4" t="s">
        <v>300</v>
      </c>
      <c r="L339" s="4" t="s">
        <v>301</v>
      </c>
    </row>
    <row r="340" spans="1:12" ht="28.8" x14ac:dyDescent="0.3">
      <c r="A340" s="3" t="s">
        <v>163</v>
      </c>
      <c r="B340" s="4" t="s">
        <v>20</v>
      </c>
      <c r="C340" s="4" t="s">
        <v>151</v>
      </c>
      <c r="D340" s="4" t="s">
        <v>276</v>
      </c>
      <c r="E340" s="4" t="s">
        <v>304</v>
      </c>
      <c r="F340" s="4" t="s">
        <v>305</v>
      </c>
      <c r="G340" s="7">
        <v>2017</v>
      </c>
      <c r="H340" s="6">
        <v>0.2</v>
      </c>
      <c r="I340" s="4" t="s">
        <v>298</v>
      </c>
      <c r="J340" s="4" t="s">
        <v>306</v>
      </c>
      <c r="K340" s="4" t="s">
        <v>300</v>
      </c>
      <c r="L340" s="4" t="s">
        <v>307</v>
      </c>
    </row>
    <row r="341" spans="1:12" ht="28.8" x14ac:dyDescent="0.3">
      <c r="A341" s="3" t="s">
        <v>163</v>
      </c>
      <c r="B341" s="4" t="s">
        <v>20</v>
      </c>
      <c r="C341" s="4" t="s">
        <v>151</v>
      </c>
      <c r="D341" s="4" t="s">
        <v>276</v>
      </c>
      <c r="E341" s="4" t="s">
        <v>308</v>
      </c>
      <c r="F341" s="4" t="s">
        <v>309</v>
      </c>
      <c r="G341" s="7">
        <v>2017</v>
      </c>
      <c r="H341" s="6">
        <v>24.3</v>
      </c>
      <c r="I341" s="4" t="s">
        <v>298</v>
      </c>
      <c r="J341" s="4" t="s">
        <v>216</v>
      </c>
      <c r="K341" s="4" t="s">
        <v>310</v>
      </c>
      <c r="L341" s="4" t="s">
        <v>311</v>
      </c>
    </row>
    <row r="342" spans="1:12" ht="28.8" x14ac:dyDescent="0.3">
      <c r="A342" s="3" t="s">
        <v>165</v>
      </c>
      <c r="B342" s="4" t="s">
        <v>20</v>
      </c>
      <c r="C342" s="4" t="s">
        <v>151</v>
      </c>
      <c r="D342" s="4" t="s">
        <v>277</v>
      </c>
      <c r="E342" s="4" t="s">
        <v>207</v>
      </c>
      <c r="F342" s="4" t="s">
        <v>293</v>
      </c>
      <c r="G342" s="7">
        <v>2026</v>
      </c>
      <c r="H342" s="6">
        <v>14958</v>
      </c>
      <c r="I342" s="4" t="s">
        <v>294</v>
      </c>
      <c r="J342" s="4" t="s">
        <v>215</v>
      </c>
      <c r="K342" s="4" t="s">
        <v>211</v>
      </c>
      <c r="L342" s="4" t="s">
        <v>295</v>
      </c>
    </row>
    <row r="343" spans="1:12" ht="28.8" x14ac:dyDescent="0.3">
      <c r="A343" s="3" t="s">
        <v>165</v>
      </c>
      <c r="B343" s="4" t="s">
        <v>20</v>
      </c>
      <c r="C343" s="4" t="s">
        <v>151</v>
      </c>
      <c r="D343" s="4" t="s">
        <v>277</v>
      </c>
      <c r="E343" s="4" t="s">
        <v>296</v>
      </c>
      <c r="F343" s="4" t="s">
        <v>297</v>
      </c>
      <c r="G343" s="7">
        <v>2017</v>
      </c>
      <c r="H343" s="6">
        <v>69.099999999999994</v>
      </c>
      <c r="I343" s="4" t="s">
        <v>298</v>
      </c>
      <c r="J343" s="4" t="s">
        <v>299</v>
      </c>
      <c r="K343" s="4" t="s">
        <v>300</v>
      </c>
      <c r="L343" s="4" t="s">
        <v>301</v>
      </c>
    </row>
    <row r="344" spans="1:12" ht="28.8" x14ac:dyDescent="0.3">
      <c r="A344" s="3" t="s">
        <v>165</v>
      </c>
      <c r="B344" s="4" t="s">
        <v>20</v>
      </c>
      <c r="C344" s="4" t="s">
        <v>151</v>
      </c>
      <c r="D344" s="4" t="s">
        <v>277</v>
      </c>
      <c r="E344" s="4" t="s">
        <v>296</v>
      </c>
      <c r="F344" s="4" t="s">
        <v>302</v>
      </c>
      <c r="G344" s="7">
        <v>2017</v>
      </c>
      <c r="H344" s="6">
        <v>20</v>
      </c>
      <c r="I344" s="4" t="s">
        <v>298</v>
      </c>
      <c r="J344" s="4" t="s">
        <v>303</v>
      </c>
      <c r="K344" s="4" t="s">
        <v>300</v>
      </c>
      <c r="L344" s="4" t="s">
        <v>301</v>
      </c>
    </row>
    <row r="345" spans="1:12" ht="28.8" x14ac:dyDescent="0.3">
      <c r="A345" s="3" t="s">
        <v>165</v>
      </c>
      <c r="B345" s="4" t="s">
        <v>20</v>
      </c>
      <c r="C345" s="4" t="s">
        <v>151</v>
      </c>
      <c r="D345" s="4" t="s">
        <v>277</v>
      </c>
      <c r="E345" s="4" t="s">
        <v>304</v>
      </c>
      <c r="F345" s="4" t="s">
        <v>305</v>
      </c>
      <c r="G345" s="7">
        <v>2017</v>
      </c>
      <c r="H345" s="6">
        <v>0.6</v>
      </c>
      <c r="I345" s="4" t="s">
        <v>298</v>
      </c>
      <c r="J345" s="4" t="s">
        <v>306</v>
      </c>
      <c r="K345" s="4" t="s">
        <v>300</v>
      </c>
      <c r="L345" s="4" t="s">
        <v>307</v>
      </c>
    </row>
    <row r="346" spans="1:12" ht="28.8" x14ac:dyDescent="0.3">
      <c r="A346" s="3" t="s">
        <v>165</v>
      </c>
      <c r="B346" s="4" t="s">
        <v>20</v>
      </c>
      <c r="C346" s="4" t="s">
        <v>151</v>
      </c>
      <c r="D346" s="4" t="s">
        <v>277</v>
      </c>
      <c r="E346" s="4" t="s">
        <v>308</v>
      </c>
      <c r="F346" s="4" t="s">
        <v>309</v>
      </c>
      <c r="G346" s="7">
        <v>2017</v>
      </c>
      <c r="H346" s="6">
        <v>26.6</v>
      </c>
      <c r="I346" s="4" t="s">
        <v>298</v>
      </c>
      <c r="J346" s="4" t="s">
        <v>216</v>
      </c>
      <c r="K346" s="4" t="s">
        <v>310</v>
      </c>
      <c r="L346" s="4" t="s">
        <v>311</v>
      </c>
    </row>
    <row r="347" spans="1:12" ht="28.8" x14ac:dyDescent="0.3">
      <c r="A347" s="3" t="s">
        <v>167</v>
      </c>
      <c r="B347" s="4" t="s">
        <v>20</v>
      </c>
      <c r="C347" s="4" t="s">
        <v>168</v>
      </c>
      <c r="D347" s="4" t="s">
        <v>278</v>
      </c>
      <c r="E347" s="4" t="s">
        <v>207</v>
      </c>
      <c r="F347" s="4" t="s">
        <v>293</v>
      </c>
      <c r="G347" s="7">
        <v>2026</v>
      </c>
      <c r="H347" s="6">
        <v>20689</v>
      </c>
      <c r="I347" s="4" t="s">
        <v>294</v>
      </c>
      <c r="J347" s="4" t="s">
        <v>215</v>
      </c>
      <c r="K347" s="4" t="s">
        <v>211</v>
      </c>
      <c r="L347" s="4" t="s">
        <v>295</v>
      </c>
    </row>
    <row r="348" spans="1:12" ht="28.8" x14ac:dyDescent="0.3">
      <c r="A348" s="3" t="s">
        <v>167</v>
      </c>
      <c r="B348" s="4" t="s">
        <v>20</v>
      </c>
      <c r="C348" s="4" t="s">
        <v>168</v>
      </c>
      <c r="D348" s="4" t="s">
        <v>278</v>
      </c>
      <c r="E348" s="4" t="s">
        <v>296</v>
      </c>
      <c r="F348" s="4" t="s">
        <v>297</v>
      </c>
      <c r="G348" s="7">
        <v>2017</v>
      </c>
      <c r="H348" s="6">
        <v>64.5</v>
      </c>
      <c r="I348" s="4" t="s">
        <v>298</v>
      </c>
      <c r="J348" s="4" t="s">
        <v>299</v>
      </c>
      <c r="K348" s="4" t="s">
        <v>300</v>
      </c>
      <c r="L348" s="4" t="s">
        <v>301</v>
      </c>
    </row>
    <row r="349" spans="1:12" ht="28.8" x14ac:dyDescent="0.3">
      <c r="A349" s="3" t="s">
        <v>167</v>
      </c>
      <c r="B349" s="4" t="s">
        <v>20</v>
      </c>
      <c r="C349" s="4" t="s">
        <v>168</v>
      </c>
      <c r="D349" s="4" t="s">
        <v>278</v>
      </c>
      <c r="E349" s="4" t="s">
        <v>296</v>
      </c>
      <c r="F349" s="4" t="s">
        <v>302</v>
      </c>
      <c r="G349" s="7">
        <v>2017</v>
      </c>
      <c r="H349" s="6">
        <v>36.700000000000003</v>
      </c>
      <c r="I349" s="4" t="s">
        <v>298</v>
      </c>
      <c r="J349" s="4" t="s">
        <v>303</v>
      </c>
      <c r="K349" s="4" t="s">
        <v>300</v>
      </c>
      <c r="L349" s="4" t="s">
        <v>301</v>
      </c>
    </row>
    <row r="350" spans="1:12" ht="28.8" x14ac:dyDescent="0.3">
      <c r="A350" s="3" t="s">
        <v>167</v>
      </c>
      <c r="B350" s="4" t="s">
        <v>20</v>
      </c>
      <c r="C350" s="4" t="s">
        <v>168</v>
      </c>
      <c r="D350" s="4" t="s">
        <v>278</v>
      </c>
      <c r="E350" s="4" t="s">
        <v>304</v>
      </c>
      <c r="F350" s="4" t="s">
        <v>305</v>
      </c>
      <c r="G350" s="7">
        <v>2017</v>
      </c>
      <c r="H350" s="6">
        <v>1.4</v>
      </c>
      <c r="I350" s="4" t="s">
        <v>298</v>
      </c>
      <c r="J350" s="4" t="s">
        <v>306</v>
      </c>
      <c r="K350" s="4" t="s">
        <v>300</v>
      </c>
      <c r="L350" s="4" t="s">
        <v>307</v>
      </c>
    </row>
    <row r="351" spans="1:12" ht="28.8" x14ac:dyDescent="0.3">
      <c r="A351" s="3" t="s">
        <v>167</v>
      </c>
      <c r="B351" s="4" t="s">
        <v>20</v>
      </c>
      <c r="C351" s="4" t="s">
        <v>168</v>
      </c>
      <c r="D351" s="4" t="s">
        <v>278</v>
      </c>
      <c r="E351" s="4" t="s">
        <v>308</v>
      </c>
      <c r="F351" s="4" t="s">
        <v>309</v>
      </c>
      <c r="G351" s="7">
        <v>2017</v>
      </c>
      <c r="H351" s="6">
        <v>9.5</v>
      </c>
      <c r="I351" s="4" t="s">
        <v>298</v>
      </c>
      <c r="J351" s="4" t="s">
        <v>216</v>
      </c>
      <c r="K351" s="4" t="s">
        <v>310</v>
      </c>
      <c r="L351" s="4" t="s">
        <v>311</v>
      </c>
    </row>
    <row r="352" spans="1:12" ht="28.8" x14ac:dyDescent="0.3">
      <c r="A352" s="3" t="s">
        <v>170</v>
      </c>
      <c r="B352" s="4" t="s">
        <v>20</v>
      </c>
      <c r="C352" s="4" t="s">
        <v>168</v>
      </c>
      <c r="D352" s="4" t="s">
        <v>279</v>
      </c>
      <c r="E352" s="4" t="s">
        <v>207</v>
      </c>
      <c r="F352" s="4" t="s">
        <v>293</v>
      </c>
      <c r="G352" s="7">
        <v>2026</v>
      </c>
      <c r="H352" s="6">
        <v>4605</v>
      </c>
      <c r="I352" s="4" t="s">
        <v>294</v>
      </c>
      <c r="J352" s="4" t="s">
        <v>215</v>
      </c>
      <c r="K352" s="4" t="s">
        <v>211</v>
      </c>
      <c r="L352" s="4" t="s">
        <v>295</v>
      </c>
    </row>
    <row r="353" spans="1:12" ht="28.8" x14ac:dyDescent="0.3">
      <c r="A353" s="3" t="s">
        <v>170</v>
      </c>
      <c r="B353" s="4" t="s">
        <v>20</v>
      </c>
      <c r="C353" s="4" t="s">
        <v>168</v>
      </c>
      <c r="D353" s="4" t="s">
        <v>279</v>
      </c>
      <c r="E353" s="4" t="s">
        <v>296</v>
      </c>
      <c r="F353" s="4" t="s">
        <v>297</v>
      </c>
      <c r="G353" s="7">
        <v>2017</v>
      </c>
      <c r="H353" s="6">
        <v>71.3</v>
      </c>
      <c r="I353" s="4" t="s">
        <v>298</v>
      </c>
      <c r="J353" s="4" t="s">
        <v>299</v>
      </c>
      <c r="K353" s="4" t="s">
        <v>300</v>
      </c>
      <c r="L353" s="4" t="s">
        <v>301</v>
      </c>
    </row>
    <row r="354" spans="1:12" ht="28.8" x14ac:dyDescent="0.3">
      <c r="A354" s="3" t="s">
        <v>170</v>
      </c>
      <c r="B354" s="4" t="s">
        <v>20</v>
      </c>
      <c r="C354" s="4" t="s">
        <v>168</v>
      </c>
      <c r="D354" s="4" t="s">
        <v>279</v>
      </c>
      <c r="E354" s="4" t="s">
        <v>296</v>
      </c>
      <c r="F354" s="4" t="s">
        <v>302</v>
      </c>
      <c r="G354" s="7">
        <v>2017</v>
      </c>
      <c r="H354" s="6">
        <v>30.7</v>
      </c>
      <c r="I354" s="4" t="s">
        <v>298</v>
      </c>
      <c r="J354" s="4" t="s">
        <v>303</v>
      </c>
      <c r="K354" s="4" t="s">
        <v>300</v>
      </c>
      <c r="L354" s="4" t="s">
        <v>301</v>
      </c>
    </row>
    <row r="355" spans="1:12" ht="28.8" x14ac:dyDescent="0.3">
      <c r="A355" s="3" t="s">
        <v>170</v>
      </c>
      <c r="B355" s="4" t="s">
        <v>20</v>
      </c>
      <c r="C355" s="4" t="s">
        <v>168</v>
      </c>
      <c r="D355" s="4" t="s">
        <v>279</v>
      </c>
      <c r="E355" s="4" t="s">
        <v>304</v>
      </c>
      <c r="F355" s="4" t="s">
        <v>305</v>
      </c>
      <c r="G355" s="7">
        <v>2017</v>
      </c>
      <c r="H355" s="6">
        <v>5.3</v>
      </c>
      <c r="I355" s="4" t="s">
        <v>298</v>
      </c>
      <c r="J355" s="4" t="s">
        <v>306</v>
      </c>
      <c r="K355" s="4" t="s">
        <v>300</v>
      </c>
      <c r="L355" s="4" t="s">
        <v>307</v>
      </c>
    </row>
    <row r="356" spans="1:12" ht="28.8" x14ac:dyDescent="0.3">
      <c r="A356" s="3" t="s">
        <v>170</v>
      </c>
      <c r="B356" s="4" t="s">
        <v>20</v>
      </c>
      <c r="C356" s="4" t="s">
        <v>168</v>
      </c>
      <c r="D356" s="4" t="s">
        <v>279</v>
      </c>
      <c r="E356" s="4" t="s">
        <v>308</v>
      </c>
      <c r="F356" s="4" t="s">
        <v>309</v>
      </c>
      <c r="G356" s="7">
        <v>2017</v>
      </c>
      <c r="H356" s="6">
        <v>17.7</v>
      </c>
      <c r="I356" s="4" t="s">
        <v>298</v>
      </c>
      <c r="J356" s="4" t="s">
        <v>216</v>
      </c>
      <c r="K356" s="4" t="s">
        <v>310</v>
      </c>
      <c r="L356" s="4" t="s">
        <v>311</v>
      </c>
    </row>
    <row r="357" spans="1:12" ht="28.8" x14ac:dyDescent="0.3">
      <c r="A357" s="3" t="s">
        <v>172</v>
      </c>
      <c r="B357" s="4" t="s">
        <v>20</v>
      </c>
      <c r="C357" s="4" t="s">
        <v>168</v>
      </c>
      <c r="D357" s="4" t="s">
        <v>280</v>
      </c>
      <c r="E357" s="4" t="s">
        <v>207</v>
      </c>
      <c r="F357" s="4" t="s">
        <v>293</v>
      </c>
      <c r="G357" s="7">
        <v>2026</v>
      </c>
      <c r="H357" s="6">
        <v>5447</v>
      </c>
      <c r="I357" s="4" t="s">
        <v>294</v>
      </c>
      <c r="J357" s="4" t="s">
        <v>215</v>
      </c>
      <c r="K357" s="4" t="s">
        <v>211</v>
      </c>
      <c r="L357" s="4" t="s">
        <v>295</v>
      </c>
    </row>
    <row r="358" spans="1:12" ht="28.8" x14ac:dyDescent="0.3">
      <c r="A358" s="3" t="s">
        <v>172</v>
      </c>
      <c r="B358" s="4" t="s">
        <v>20</v>
      </c>
      <c r="C358" s="4" t="s">
        <v>168</v>
      </c>
      <c r="D358" s="4" t="s">
        <v>280</v>
      </c>
      <c r="E358" s="4" t="s">
        <v>296</v>
      </c>
      <c r="F358" s="4" t="s">
        <v>297</v>
      </c>
      <c r="G358" s="7">
        <v>2017</v>
      </c>
      <c r="H358" s="6">
        <v>56.3</v>
      </c>
      <c r="I358" s="4" t="s">
        <v>298</v>
      </c>
      <c r="J358" s="4" t="s">
        <v>299</v>
      </c>
      <c r="K358" s="4" t="s">
        <v>300</v>
      </c>
      <c r="L358" s="4" t="s">
        <v>301</v>
      </c>
    </row>
    <row r="359" spans="1:12" ht="28.8" x14ac:dyDescent="0.3">
      <c r="A359" s="3" t="s">
        <v>172</v>
      </c>
      <c r="B359" s="4" t="s">
        <v>20</v>
      </c>
      <c r="C359" s="4" t="s">
        <v>168</v>
      </c>
      <c r="D359" s="4" t="s">
        <v>280</v>
      </c>
      <c r="E359" s="4" t="s">
        <v>296</v>
      </c>
      <c r="F359" s="4" t="s">
        <v>302</v>
      </c>
      <c r="G359" s="7">
        <v>2017</v>
      </c>
      <c r="H359" s="6">
        <v>36.799999999999997</v>
      </c>
      <c r="I359" s="4" t="s">
        <v>298</v>
      </c>
      <c r="J359" s="4" t="s">
        <v>303</v>
      </c>
      <c r="K359" s="4" t="s">
        <v>300</v>
      </c>
      <c r="L359" s="4" t="s">
        <v>301</v>
      </c>
    </row>
    <row r="360" spans="1:12" ht="28.8" x14ac:dyDescent="0.3">
      <c r="A360" s="3" t="s">
        <v>172</v>
      </c>
      <c r="B360" s="4" t="s">
        <v>20</v>
      </c>
      <c r="C360" s="4" t="s">
        <v>168</v>
      </c>
      <c r="D360" s="4" t="s">
        <v>280</v>
      </c>
      <c r="E360" s="4" t="s">
        <v>304</v>
      </c>
      <c r="F360" s="4" t="s">
        <v>305</v>
      </c>
      <c r="G360" s="7">
        <v>2017</v>
      </c>
      <c r="H360" s="6">
        <v>0.8</v>
      </c>
      <c r="I360" s="4" t="s">
        <v>298</v>
      </c>
      <c r="J360" s="4" t="s">
        <v>306</v>
      </c>
      <c r="K360" s="4" t="s">
        <v>300</v>
      </c>
      <c r="L360" s="4" t="s">
        <v>307</v>
      </c>
    </row>
    <row r="361" spans="1:12" ht="28.8" x14ac:dyDescent="0.3">
      <c r="A361" s="3" t="s">
        <v>172</v>
      </c>
      <c r="B361" s="4" t="s">
        <v>20</v>
      </c>
      <c r="C361" s="4" t="s">
        <v>168</v>
      </c>
      <c r="D361" s="4" t="s">
        <v>280</v>
      </c>
      <c r="E361" s="4" t="s">
        <v>308</v>
      </c>
      <c r="F361" s="4" t="s">
        <v>309</v>
      </c>
      <c r="G361" s="7">
        <v>2017</v>
      </c>
      <c r="H361" s="6">
        <v>13.4</v>
      </c>
      <c r="I361" s="4" t="s">
        <v>298</v>
      </c>
      <c r="J361" s="4" t="s">
        <v>216</v>
      </c>
      <c r="K361" s="4" t="s">
        <v>310</v>
      </c>
      <c r="L361" s="4" t="s">
        <v>311</v>
      </c>
    </row>
    <row r="362" spans="1:12" ht="28.8" x14ac:dyDescent="0.3">
      <c r="A362" s="3" t="s">
        <v>174</v>
      </c>
      <c r="B362" s="4" t="s">
        <v>20</v>
      </c>
      <c r="C362" s="4" t="s">
        <v>168</v>
      </c>
      <c r="D362" s="4" t="s">
        <v>281</v>
      </c>
      <c r="E362" s="4" t="s">
        <v>207</v>
      </c>
      <c r="F362" s="4" t="s">
        <v>293</v>
      </c>
      <c r="G362" s="7">
        <v>2026</v>
      </c>
      <c r="H362" s="6">
        <v>1805</v>
      </c>
      <c r="I362" s="4" t="s">
        <v>294</v>
      </c>
      <c r="J362" s="4" t="s">
        <v>215</v>
      </c>
      <c r="K362" s="4" t="s">
        <v>211</v>
      </c>
      <c r="L362" s="4" t="s">
        <v>295</v>
      </c>
    </row>
    <row r="363" spans="1:12" ht="28.8" x14ac:dyDescent="0.3">
      <c r="A363" s="3" t="s">
        <v>174</v>
      </c>
      <c r="B363" s="4" t="s">
        <v>20</v>
      </c>
      <c r="C363" s="4" t="s">
        <v>168</v>
      </c>
      <c r="D363" s="4" t="s">
        <v>281</v>
      </c>
      <c r="E363" s="4" t="s">
        <v>296</v>
      </c>
      <c r="F363" s="4" t="s">
        <v>297</v>
      </c>
      <c r="G363" s="7">
        <v>2017</v>
      </c>
      <c r="H363" s="6">
        <v>76.599999999999994</v>
      </c>
      <c r="I363" s="4" t="s">
        <v>298</v>
      </c>
      <c r="J363" s="4" t="s">
        <v>299</v>
      </c>
      <c r="K363" s="4" t="s">
        <v>300</v>
      </c>
      <c r="L363" s="4" t="s">
        <v>301</v>
      </c>
    </row>
    <row r="364" spans="1:12" ht="28.8" x14ac:dyDescent="0.3">
      <c r="A364" s="3" t="s">
        <v>174</v>
      </c>
      <c r="B364" s="4" t="s">
        <v>20</v>
      </c>
      <c r="C364" s="4" t="s">
        <v>168</v>
      </c>
      <c r="D364" s="4" t="s">
        <v>281</v>
      </c>
      <c r="E364" s="4" t="s">
        <v>296</v>
      </c>
      <c r="F364" s="4" t="s">
        <v>302</v>
      </c>
      <c r="G364" s="7">
        <v>2017</v>
      </c>
      <c r="H364" s="6">
        <v>42.3</v>
      </c>
      <c r="I364" s="4" t="s">
        <v>298</v>
      </c>
      <c r="J364" s="4" t="s">
        <v>303</v>
      </c>
      <c r="K364" s="4" t="s">
        <v>300</v>
      </c>
      <c r="L364" s="4" t="s">
        <v>301</v>
      </c>
    </row>
    <row r="365" spans="1:12" ht="28.8" x14ac:dyDescent="0.3">
      <c r="A365" s="3" t="s">
        <v>174</v>
      </c>
      <c r="B365" s="4" t="s">
        <v>20</v>
      </c>
      <c r="C365" s="4" t="s">
        <v>168</v>
      </c>
      <c r="D365" s="4" t="s">
        <v>281</v>
      </c>
      <c r="E365" s="4" t="s">
        <v>304</v>
      </c>
      <c r="F365" s="4" t="s">
        <v>305</v>
      </c>
      <c r="G365" s="7">
        <v>2017</v>
      </c>
      <c r="H365" s="6">
        <v>2.5</v>
      </c>
      <c r="I365" s="4" t="s">
        <v>298</v>
      </c>
      <c r="J365" s="4" t="s">
        <v>306</v>
      </c>
      <c r="K365" s="4" t="s">
        <v>300</v>
      </c>
      <c r="L365" s="4" t="s">
        <v>307</v>
      </c>
    </row>
    <row r="366" spans="1:12" ht="28.8" x14ac:dyDescent="0.3">
      <c r="A366" s="3" t="s">
        <v>174</v>
      </c>
      <c r="B366" s="4" t="s">
        <v>20</v>
      </c>
      <c r="C366" s="4" t="s">
        <v>168</v>
      </c>
      <c r="D366" s="4" t="s">
        <v>281</v>
      </c>
      <c r="E366" s="4" t="s">
        <v>308</v>
      </c>
      <c r="F366" s="4" t="s">
        <v>309</v>
      </c>
      <c r="G366" s="7">
        <v>2017</v>
      </c>
      <c r="H366" s="6">
        <v>16.3</v>
      </c>
      <c r="I366" s="4" t="s">
        <v>298</v>
      </c>
      <c r="J366" s="4" t="s">
        <v>216</v>
      </c>
      <c r="K366" s="4" t="s">
        <v>310</v>
      </c>
      <c r="L366" s="4" t="s">
        <v>311</v>
      </c>
    </row>
    <row r="367" spans="1:12" ht="28.8" x14ac:dyDescent="0.3">
      <c r="A367" s="3" t="s">
        <v>176</v>
      </c>
      <c r="B367" s="4" t="s">
        <v>20</v>
      </c>
      <c r="C367" s="4" t="s">
        <v>168</v>
      </c>
      <c r="D367" s="4" t="s">
        <v>282</v>
      </c>
      <c r="E367" s="4" t="s">
        <v>207</v>
      </c>
      <c r="F367" s="4" t="s">
        <v>293</v>
      </c>
      <c r="G367" s="7">
        <v>2026</v>
      </c>
      <c r="H367" s="6">
        <v>2320</v>
      </c>
      <c r="I367" s="4" t="s">
        <v>294</v>
      </c>
      <c r="J367" s="4" t="s">
        <v>215</v>
      </c>
      <c r="K367" s="4" t="s">
        <v>211</v>
      </c>
      <c r="L367" s="4" t="s">
        <v>295</v>
      </c>
    </row>
    <row r="368" spans="1:12" ht="28.8" x14ac:dyDescent="0.3">
      <c r="A368" s="3" t="s">
        <v>176</v>
      </c>
      <c r="B368" s="4" t="s">
        <v>20</v>
      </c>
      <c r="C368" s="4" t="s">
        <v>168</v>
      </c>
      <c r="D368" s="4" t="s">
        <v>282</v>
      </c>
      <c r="E368" s="4" t="s">
        <v>296</v>
      </c>
      <c r="F368" s="4" t="s">
        <v>297</v>
      </c>
      <c r="G368" s="7">
        <v>2017</v>
      </c>
      <c r="H368" s="6">
        <v>91.6</v>
      </c>
      <c r="I368" s="4" t="s">
        <v>298</v>
      </c>
      <c r="J368" s="4" t="s">
        <v>299</v>
      </c>
      <c r="K368" s="4" t="s">
        <v>300</v>
      </c>
      <c r="L368" s="4" t="s">
        <v>301</v>
      </c>
    </row>
    <row r="369" spans="1:12" ht="28.8" x14ac:dyDescent="0.3">
      <c r="A369" s="3" t="s">
        <v>176</v>
      </c>
      <c r="B369" s="4" t="s">
        <v>20</v>
      </c>
      <c r="C369" s="4" t="s">
        <v>168</v>
      </c>
      <c r="D369" s="4" t="s">
        <v>282</v>
      </c>
      <c r="E369" s="4" t="s">
        <v>296</v>
      </c>
      <c r="F369" s="4" t="s">
        <v>302</v>
      </c>
      <c r="G369" s="7">
        <v>2017</v>
      </c>
      <c r="H369" s="6">
        <v>26.1</v>
      </c>
      <c r="I369" s="4" t="s">
        <v>298</v>
      </c>
      <c r="J369" s="4" t="s">
        <v>303</v>
      </c>
      <c r="K369" s="4" t="s">
        <v>300</v>
      </c>
      <c r="L369" s="4" t="s">
        <v>301</v>
      </c>
    </row>
    <row r="370" spans="1:12" ht="28.8" x14ac:dyDescent="0.3">
      <c r="A370" s="3" t="s">
        <v>176</v>
      </c>
      <c r="B370" s="4" t="s">
        <v>20</v>
      </c>
      <c r="C370" s="4" t="s">
        <v>168</v>
      </c>
      <c r="D370" s="4" t="s">
        <v>282</v>
      </c>
      <c r="E370" s="4" t="s">
        <v>304</v>
      </c>
      <c r="F370" s="4" t="s">
        <v>305</v>
      </c>
      <c r="G370" s="7">
        <v>2017</v>
      </c>
      <c r="H370" s="6">
        <v>7.1</v>
      </c>
      <c r="I370" s="4" t="s">
        <v>298</v>
      </c>
      <c r="J370" s="4" t="s">
        <v>306</v>
      </c>
      <c r="K370" s="4" t="s">
        <v>300</v>
      </c>
      <c r="L370" s="4" t="s">
        <v>307</v>
      </c>
    </row>
    <row r="371" spans="1:12" ht="28.8" x14ac:dyDescent="0.3">
      <c r="A371" s="3" t="s">
        <v>176</v>
      </c>
      <c r="B371" s="4" t="s">
        <v>20</v>
      </c>
      <c r="C371" s="4" t="s">
        <v>168</v>
      </c>
      <c r="D371" s="4" t="s">
        <v>282</v>
      </c>
      <c r="E371" s="4" t="s">
        <v>308</v>
      </c>
      <c r="F371" s="4" t="s">
        <v>309</v>
      </c>
      <c r="G371" s="7">
        <v>2017</v>
      </c>
      <c r="H371" s="6">
        <v>19.5</v>
      </c>
      <c r="I371" s="4" t="s">
        <v>298</v>
      </c>
      <c r="J371" s="4" t="s">
        <v>216</v>
      </c>
      <c r="K371" s="4" t="s">
        <v>310</v>
      </c>
      <c r="L371" s="4" t="s">
        <v>311</v>
      </c>
    </row>
    <row r="372" spans="1:12" ht="28.8" x14ac:dyDescent="0.3">
      <c r="A372" s="3" t="s">
        <v>178</v>
      </c>
      <c r="B372" s="4" t="s">
        <v>20</v>
      </c>
      <c r="C372" s="4" t="s">
        <v>168</v>
      </c>
      <c r="D372" s="4" t="s">
        <v>283</v>
      </c>
      <c r="E372" s="4" t="s">
        <v>207</v>
      </c>
      <c r="F372" s="4" t="s">
        <v>293</v>
      </c>
      <c r="G372" s="7">
        <v>2026</v>
      </c>
      <c r="H372" s="6">
        <v>13601</v>
      </c>
      <c r="I372" s="4" t="s">
        <v>294</v>
      </c>
      <c r="J372" s="4" t="s">
        <v>215</v>
      </c>
      <c r="K372" s="4" t="s">
        <v>211</v>
      </c>
      <c r="L372" s="4" t="s">
        <v>295</v>
      </c>
    </row>
    <row r="373" spans="1:12" ht="28.8" x14ac:dyDescent="0.3">
      <c r="A373" s="3" t="s">
        <v>178</v>
      </c>
      <c r="B373" s="4" t="s">
        <v>20</v>
      </c>
      <c r="C373" s="4" t="s">
        <v>168</v>
      </c>
      <c r="D373" s="4" t="s">
        <v>283</v>
      </c>
      <c r="E373" s="4" t="s">
        <v>296</v>
      </c>
      <c r="F373" s="4" t="s">
        <v>297</v>
      </c>
      <c r="G373" s="7">
        <v>2017</v>
      </c>
      <c r="H373" s="6">
        <v>51.3</v>
      </c>
      <c r="I373" s="4" t="s">
        <v>298</v>
      </c>
      <c r="J373" s="4" t="s">
        <v>299</v>
      </c>
      <c r="K373" s="4" t="s">
        <v>300</v>
      </c>
      <c r="L373" s="4" t="s">
        <v>301</v>
      </c>
    </row>
    <row r="374" spans="1:12" ht="28.8" x14ac:dyDescent="0.3">
      <c r="A374" s="3" t="s">
        <v>178</v>
      </c>
      <c r="B374" s="4" t="s">
        <v>20</v>
      </c>
      <c r="C374" s="4" t="s">
        <v>168</v>
      </c>
      <c r="D374" s="4" t="s">
        <v>283</v>
      </c>
      <c r="E374" s="4" t="s">
        <v>296</v>
      </c>
      <c r="F374" s="4" t="s">
        <v>302</v>
      </c>
      <c r="G374" s="7">
        <v>2017</v>
      </c>
      <c r="H374" s="6">
        <v>43.3</v>
      </c>
      <c r="I374" s="4" t="s">
        <v>298</v>
      </c>
      <c r="J374" s="4" t="s">
        <v>303</v>
      </c>
      <c r="K374" s="4" t="s">
        <v>300</v>
      </c>
      <c r="L374" s="4" t="s">
        <v>301</v>
      </c>
    </row>
    <row r="375" spans="1:12" ht="28.8" x14ac:dyDescent="0.3">
      <c r="A375" s="3" t="s">
        <v>178</v>
      </c>
      <c r="B375" s="4" t="s">
        <v>20</v>
      </c>
      <c r="C375" s="4" t="s">
        <v>168</v>
      </c>
      <c r="D375" s="4" t="s">
        <v>283</v>
      </c>
      <c r="E375" s="4" t="s">
        <v>304</v>
      </c>
      <c r="F375" s="4" t="s">
        <v>305</v>
      </c>
      <c r="G375" s="7">
        <v>2017</v>
      </c>
      <c r="H375" s="6">
        <v>4.9000000000000004</v>
      </c>
      <c r="I375" s="4" t="s">
        <v>298</v>
      </c>
      <c r="J375" s="4" t="s">
        <v>306</v>
      </c>
      <c r="K375" s="4" t="s">
        <v>300</v>
      </c>
      <c r="L375" s="4" t="s">
        <v>307</v>
      </c>
    </row>
    <row r="376" spans="1:12" ht="28.8" x14ac:dyDescent="0.3">
      <c r="A376" s="3" t="s">
        <v>178</v>
      </c>
      <c r="B376" s="4" t="s">
        <v>20</v>
      </c>
      <c r="C376" s="4" t="s">
        <v>168</v>
      </c>
      <c r="D376" s="4" t="s">
        <v>283</v>
      </c>
      <c r="E376" s="4" t="s">
        <v>308</v>
      </c>
      <c r="F376" s="4" t="s">
        <v>309</v>
      </c>
      <c r="G376" s="7">
        <v>2017</v>
      </c>
      <c r="H376" s="6">
        <v>11.8</v>
      </c>
      <c r="I376" s="4" t="s">
        <v>298</v>
      </c>
      <c r="J376" s="4" t="s">
        <v>216</v>
      </c>
      <c r="K376" s="4" t="s">
        <v>310</v>
      </c>
      <c r="L376" s="4" t="s">
        <v>311</v>
      </c>
    </row>
    <row r="377" spans="1:12" ht="28.8" x14ac:dyDescent="0.3">
      <c r="A377" s="3" t="s">
        <v>180</v>
      </c>
      <c r="B377" s="4" t="s">
        <v>20</v>
      </c>
      <c r="C377" s="4" t="s">
        <v>168</v>
      </c>
      <c r="D377" s="4" t="s">
        <v>284</v>
      </c>
      <c r="E377" s="4" t="s">
        <v>207</v>
      </c>
      <c r="F377" s="4" t="s">
        <v>293</v>
      </c>
      <c r="G377" s="7">
        <v>2026</v>
      </c>
      <c r="H377" s="6">
        <v>2980</v>
      </c>
      <c r="I377" s="4" t="s">
        <v>294</v>
      </c>
      <c r="J377" s="4" t="s">
        <v>215</v>
      </c>
      <c r="K377" s="4" t="s">
        <v>211</v>
      </c>
      <c r="L377" s="4" t="s">
        <v>295</v>
      </c>
    </row>
    <row r="378" spans="1:12" ht="28.8" x14ac:dyDescent="0.3">
      <c r="A378" s="3" t="s">
        <v>180</v>
      </c>
      <c r="B378" s="4" t="s">
        <v>20</v>
      </c>
      <c r="C378" s="4" t="s">
        <v>168</v>
      </c>
      <c r="D378" s="4" t="s">
        <v>284</v>
      </c>
      <c r="E378" s="4" t="s">
        <v>296</v>
      </c>
      <c r="F378" s="4" t="s">
        <v>297</v>
      </c>
      <c r="G378" s="7">
        <v>2017</v>
      </c>
      <c r="H378" s="6">
        <v>58.6</v>
      </c>
      <c r="I378" s="4" t="s">
        <v>298</v>
      </c>
      <c r="J378" s="4" t="s">
        <v>299</v>
      </c>
      <c r="K378" s="4" t="s">
        <v>300</v>
      </c>
      <c r="L378" s="4" t="s">
        <v>301</v>
      </c>
    </row>
    <row r="379" spans="1:12" ht="28.8" x14ac:dyDescent="0.3">
      <c r="A379" s="3" t="s">
        <v>180</v>
      </c>
      <c r="B379" s="4" t="s">
        <v>20</v>
      </c>
      <c r="C379" s="4" t="s">
        <v>168</v>
      </c>
      <c r="D379" s="4" t="s">
        <v>284</v>
      </c>
      <c r="E379" s="4" t="s">
        <v>296</v>
      </c>
      <c r="F379" s="4" t="s">
        <v>302</v>
      </c>
      <c r="G379" s="7">
        <v>2017</v>
      </c>
      <c r="H379" s="6">
        <v>22.3</v>
      </c>
      <c r="I379" s="4" t="s">
        <v>298</v>
      </c>
      <c r="J379" s="4" t="s">
        <v>303</v>
      </c>
      <c r="K379" s="4" t="s">
        <v>300</v>
      </c>
      <c r="L379" s="4" t="s">
        <v>301</v>
      </c>
    </row>
    <row r="380" spans="1:12" ht="28.8" x14ac:dyDescent="0.3">
      <c r="A380" s="3" t="s">
        <v>180</v>
      </c>
      <c r="B380" s="4" t="s">
        <v>20</v>
      </c>
      <c r="C380" s="4" t="s">
        <v>168</v>
      </c>
      <c r="D380" s="4" t="s">
        <v>284</v>
      </c>
      <c r="E380" s="4" t="s">
        <v>304</v>
      </c>
      <c r="F380" s="4" t="s">
        <v>305</v>
      </c>
      <c r="G380" s="7">
        <v>2017</v>
      </c>
      <c r="H380" s="6">
        <v>0.1</v>
      </c>
      <c r="I380" s="4" t="s">
        <v>298</v>
      </c>
      <c r="J380" s="4" t="s">
        <v>306</v>
      </c>
      <c r="K380" s="4" t="s">
        <v>300</v>
      </c>
      <c r="L380" s="4" t="s">
        <v>307</v>
      </c>
    </row>
    <row r="381" spans="1:12" ht="28.8" x14ac:dyDescent="0.3">
      <c r="A381" s="3" t="s">
        <v>180</v>
      </c>
      <c r="B381" s="4" t="s">
        <v>20</v>
      </c>
      <c r="C381" s="4" t="s">
        <v>168</v>
      </c>
      <c r="D381" s="4" t="s">
        <v>284</v>
      </c>
      <c r="E381" s="4" t="s">
        <v>308</v>
      </c>
      <c r="F381" s="4" t="s">
        <v>309</v>
      </c>
      <c r="G381" s="7">
        <v>2017</v>
      </c>
      <c r="H381" s="6">
        <v>12</v>
      </c>
      <c r="I381" s="4" t="s">
        <v>298</v>
      </c>
      <c r="J381" s="4" t="s">
        <v>216</v>
      </c>
      <c r="K381" s="4" t="s">
        <v>310</v>
      </c>
      <c r="L381" s="4" t="s">
        <v>311</v>
      </c>
    </row>
    <row r="382" spans="1:12" ht="28.8" x14ac:dyDescent="0.3">
      <c r="A382" s="3" t="s">
        <v>182</v>
      </c>
      <c r="B382" s="4" t="s">
        <v>20</v>
      </c>
      <c r="C382" s="4" t="s">
        <v>168</v>
      </c>
      <c r="D382" s="4" t="s">
        <v>285</v>
      </c>
      <c r="E382" s="4" t="s">
        <v>207</v>
      </c>
      <c r="F382" s="4" t="s">
        <v>293</v>
      </c>
      <c r="G382" s="7">
        <v>2026</v>
      </c>
      <c r="H382" s="6">
        <v>3657</v>
      </c>
      <c r="I382" s="4" t="s">
        <v>294</v>
      </c>
      <c r="J382" s="4" t="s">
        <v>215</v>
      </c>
      <c r="K382" s="4" t="s">
        <v>211</v>
      </c>
      <c r="L382" s="4" t="s">
        <v>295</v>
      </c>
    </row>
    <row r="383" spans="1:12" ht="28.8" x14ac:dyDescent="0.3">
      <c r="A383" s="3" t="s">
        <v>182</v>
      </c>
      <c r="B383" s="4" t="s">
        <v>20</v>
      </c>
      <c r="C383" s="4" t="s">
        <v>168</v>
      </c>
      <c r="D383" s="4" t="s">
        <v>285</v>
      </c>
      <c r="E383" s="4" t="s">
        <v>296</v>
      </c>
      <c r="F383" s="4" t="s">
        <v>297</v>
      </c>
      <c r="G383" s="7">
        <v>2017</v>
      </c>
      <c r="H383" s="6">
        <v>69.3</v>
      </c>
      <c r="I383" s="4" t="s">
        <v>298</v>
      </c>
      <c r="J383" s="4" t="s">
        <v>299</v>
      </c>
      <c r="K383" s="4" t="s">
        <v>300</v>
      </c>
      <c r="L383" s="4" t="s">
        <v>301</v>
      </c>
    </row>
    <row r="384" spans="1:12" ht="28.8" x14ac:dyDescent="0.3">
      <c r="A384" s="3" t="s">
        <v>182</v>
      </c>
      <c r="B384" s="4" t="s">
        <v>20</v>
      </c>
      <c r="C384" s="4" t="s">
        <v>168</v>
      </c>
      <c r="D384" s="4" t="s">
        <v>285</v>
      </c>
      <c r="E384" s="4" t="s">
        <v>296</v>
      </c>
      <c r="F384" s="4" t="s">
        <v>302</v>
      </c>
      <c r="G384" s="7">
        <v>2017</v>
      </c>
      <c r="H384" s="6">
        <v>19.100000000000001</v>
      </c>
      <c r="I384" s="4" t="s">
        <v>298</v>
      </c>
      <c r="J384" s="4" t="s">
        <v>303</v>
      </c>
      <c r="K384" s="4" t="s">
        <v>300</v>
      </c>
      <c r="L384" s="4" t="s">
        <v>301</v>
      </c>
    </row>
    <row r="385" spans="1:12" ht="28.8" x14ac:dyDescent="0.3">
      <c r="A385" s="3" t="s">
        <v>182</v>
      </c>
      <c r="B385" s="4" t="s">
        <v>20</v>
      </c>
      <c r="C385" s="4" t="s">
        <v>168</v>
      </c>
      <c r="D385" s="4" t="s">
        <v>285</v>
      </c>
      <c r="E385" s="4" t="s">
        <v>304</v>
      </c>
      <c r="F385" s="4" t="s">
        <v>305</v>
      </c>
      <c r="G385" s="7">
        <v>2017</v>
      </c>
      <c r="H385" s="6">
        <v>0.1</v>
      </c>
      <c r="I385" s="4" t="s">
        <v>298</v>
      </c>
      <c r="J385" s="4" t="s">
        <v>306</v>
      </c>
      <c r="K385" s="4" t="s">
        <v>300</v>
      </c>
      <c r="L385" s="4" t="s">
        <v>307</v>
      </c>
    </row>
    <row r="386" spans="1:12" ht="28.8" x14ac:dyDescent="0.3">
      <c r="A386" s="3" t="s">
        <v>182</v>
      </c>
      <c r="B386" s="4" t="s">
        <v>20</v>
      </c>
      <c r="C386" s="4" t="s">
        <v>168</v>
      </c>
      <c r="D386" s="4" t="s">
        <v>285</v>
      </c>
      <c r="E386" s="4" t="s">
        <v>308</v>
      </c>
      <c r="F386" s="4" t="s">
        <v>309</v>
      </c>
      <c r="G386" s="7">
        <v>2017</v>
      </c>
      <c r="H386" s="6">
        <v>18.5</v>
      </c>
      <c r="I386" s="4" t="s">
        <v>298</v>
      </c>
      <c r="J386" s="4" t="s">
        <v>216</v>
      </c>
      <c r="K386" s="4" t="s">
        <v>310</v>
      </c>
      <c r="L386" s="4" t="s">
        <v>311</v>
      </c>
    </row>
    <row r="387" spans="1:12" ht="28.8" x14ac:dyDescent="0.3">
      <c r="A387" s="3" t="s">
        <v>184</v>
      </c>
      <c r="B387" s="4" t="s">
        <v>20</v>
      </c>
      <c r="C387" s="4" t="s">
        <v>185</v>
      </c>
      <c r="D387" s="4" t="s">
        <v>286</v>
      </c>
      <c r="E387" s="4" t="s">
        <v>207</v>
      </c>
      <c r="F387" s="4" t="s">
        <v>293</v>
      </c>
      <c r="G387" s="7">
        <v>2026</v>
      </c>
      <c r="H387" s="6">
        <v>14490</v>
      </c>
      <c r="I387" s="4" t="s">
        <v>294</v>
      </c>
      <c r="J387" s="4" t="s">
        <v>215</v>
      </c>
      <c r="K387" s="4" t="s">
        <v>211</v>
      </c>
      <c r="L387" s="4" t="s">
        <v>295</v>
      </c>
    </row>
    <row r="388" spans="1:12" ht="28.8" x14ac:dyDescent="0.3">
      <c r="A388" s="3" t="s">
        <v>184</v>
      </c>
      <c r="B388" s="4" t="s">
        <v>20</v>
      </c>
      <c r="C388" s="4" t="s">
        <v>185</v>
      </c>
      <c r="D388" s="4" t="s">
        <v>286</v>
      </c>
      <c r="E388" s="4" t="s">
        <v>296</v>
      </c>
      <c r="F388" s="4" t="s">
        <v>297</v>
      </c>
      <c r="G388" s="7">
        <v>2017</v>
      </c>
      <c r="H388" s="6">
        <v>34.700000000000003</v>
      </c>
      <c r="I388" s="4" t="s">
        <v>298</v>
      </c>
      <c r="J388" s="4" t="s">
        <v>299</v>
      </c>
      <c r="K388" s="4" t="s">
        <v>300</v>
      </c>
      <c r="L388" s="4" t="s">
        <v>301</v>
      </c>
    </row>
    <row r="389" spans="1:12" ht="28.8" x14ac:dyDescent="0.3">
      <c r="A389" s="3" t="s">
        <v>184</v>
      </c>
      <c r="B389" s="4" t="s">
        <v>20</v>
      </c>
      <c r="C389" s="4" t="s">
        <v>185</v>
      </c>
      <c r="D389" s="4" t="s">
        <v>286</v>
      </c>
      <c r="E389" s="4" t="s">
        <v>296</v>
      </c>
      <c r="F389" s="4" t="s">
        <v>302</v>
      </c>
      <c r="G389" s="7">
        <v>2017</v>
      </c>
      <c r="H389" s="6">
        <v>33</v>
      </c>
      <c r="I389" s="4" t="s">
        <v>298</v>
      </c>
      <c r="J389" s="4" t="s">
        <v>303</v>
      </c>
      <c r="K389" s="4" t="s">
        <v>300</v>
      </c>
      <c r="L389" s="4" t="s">
        <v>301</v>
      </c>
    </row>
    <row r="390" spans="1:12" ht="28.8" x14ac:dyDescent="0.3">
      <c r="A390" s="3" t="s">
        <v>184</v>
      </c>
      <c r="B390" s="4" t="s">
        <v>20</v>
      </c>
      <c r="C390" s="4" t="s">
        <v>185</v>
      </c>
      <c r="D390" s="4" t="s">
        <v>286</v>
      </c>
      <c r="E390" s="4" t="s">
        <v>304</v>
      </c>
      <c r="F390" s="4" t="s">
        <v>305</v>
      </c>
      <c r="G390" s="7">
        <v>2017</v>
      </c>
      <c r="H390" s="6">
        <v>5.9</v>
      </c>
      <c r="I390" s="4" t="s">
        <v>298</v>
      </c>
      <c r="J390" s="4" t="s">
        <v>306</v>
      </c>
      <c r="K390" s="4" t="s">
        <v>300</v>
      </c>
      <c r="L390" s="4" t="s">
        <v>307</v>
      </c>
    </row>
    <row r="391" spans="1:12" ht="28.8" x14ac:dyDescent="0.3">
      <c r="A391" s="3" t="s">
        <v>184</v>
      </c>
      <c r="B391" s="4" t="s">
        <v>20</v>
      </c>
      <c r="C391" s="4" t="s">
        <v>185</v>
      </c>
      <c r="D391" s="4" t="s">
        <v>286</v>
      </c>
      <c r="E391" s="4" t="s">
        <v>308</v>
      </c>
      <c r="F391" s="4" t="s">
        <v>309</v>
      </c>
      <c r="G391" s="7">
        <v>2017</v>
      </c>
      <c r="H391" s="6">
        <v>8.4</v>
      </c>
      <c r="I391" s="4" t="s">
        <v>298</v>
      </c>
      <c r="J391" s="4" t="s">
        <v>216</v>
      </c>
      <c r="K391" s="4" t="s">
        <v>310</v>
      </c>
      <c r="L391" s="4" t="s">
        <v>311</v>
      </c>
    </row>
    <row r="392" spans="1:12" ht="28.8" x14ac:dyDescent="0.3">
      <c r="A392" s="3" t="s">
        <v>187</v>
      </c>
      <c r="B392" s="4" t="s">
        <v>20</v>
      </c>
      <c r="C392" s="4" t="s">
        <v>185</v>
      </c>
      <c r="D392" s="4" t="s">
        <v>287</v>
      </c>
      <c r="E392" s="4" t="s">
        <v>207</v>
      </c>
      <c r="F392" s="4" t="s">
        <v>293</v>
      </c>
      <c r="G392" s="7">
        <v>2026</v>
      </c>
      <c r="H392" s="6">
        <v>4601</v>
      </c>
      <c r="I392" s="4" t="s">
        <v>294</v>
      </c>
      <c r="J392" s="4" t="s">
        <v>215</v>
      </c>
      <c r="K392" s="4" t="s">
        <v>211</v>
      </c>
      <c r="L392" s="4" t="s">
        <v>295</v>
      </c>
    </row>
    <row r="393" spans="1:12" ht="28.8" x14ac:dyDescent="0.3">
      <c r="A393" s="3" t="s">
        <v>187</v>
      </c>
      <c r="B393" s="4" t="s">
        <v>20</v>
      </c>
      <c r="C393" s="4" t="s">
        <v>185</v>
      </c>
      <c r="D393" s="4" t="s">
        <v>287</v>
      </c>
      <c r="E393" s="4" t="s">
        <v>296</v>
      </c>
      <c r="F393" s="4" t="s">
        <v>297</v>
      </c>
      <c r="G393" s="7">
        <v>2017</v>
      </c>
      <c r="H393" s="6">
        <v>55.5</v>
      </c>
      <c r="I393" s="4" t="s">
        <v>298</v>
      </c>
      <c r="J393" s="4" t="s">
        <v>299</v>
      </c>
      <c r="K393" s="4" t="s">
        <v>300</v>
      </c>
      <c r="L393" s="4" t="s">
        <v>301</v>
      </c>
    </row>
    <row r="394" spans="1:12" ht="28.8" x14ac:dyDescent="0.3">
      <c r="A394" s="3" t="s">
        <v>187</v>
      </c>
      <c r="B394" s="4" t="s">
        <v>20</v>
      </c>
      <c r="C394" s="4" t="s">
        <v>185</v>
      </c>
      <c r="D394" s="4" t="s">
        <v>287</v>
      </c>
      <c r="E394" s="4" t="s">
        <v>296</v>
      </c>
      <c r="F394" s="4" t="s">
        <v>302</v>
      </c>
      <c r="G394" s="7">
        <v>2017</v>
      </c>
      <c r="H394" s="6">
        <v>14.2</v>
      </c>
      <c r="I394" s="4" t="s">
        <v>298</v>
      </c>
      <c r="J394" s="4" t="s">
        <v>303</v>
      </c>
      <c r="K394" s="4" t="s">
        <v>300</v>
      </c>
      <c r="L394" s="4" t="s">
        <v>301</v>
      </c>
    </row>
    <row r="395" spans="1:12" ht="28.8" x14ac:dyDescent="0.3">
      <c r="A395" s="3" t="s">
        <v>187</v>
      </c>
      <c r="B395" s="4" t="s">
        <v>20</v>
      </c>
      <c r="C395" s="4" t="s">
        <v>185</v>
      </c>
      <c r="D395" s="4" t="s">
        <v>287</v>
      </c>
      <c r="E395" s="4" t="s">
        <v>304</v>
      </c>
      <c r="F395" s="4" t="s">
        <v>305</v>
      </c>
      <c r="G395" s="7">
        <v>2017</v>
      </c>
      <c r="H395" s="6">
        <v>0</v>
      </c>
      <c r="I395" s="4" t="s">
        <v>298</v>
      </c>
      <c r="J395" s="4" t="s">
        <v>306</v>
      </c>
      <c r="K395" s="4" t="s">
        <v>300</v>
      </c>
      <c r="L395" s="4" t="s">
        <v>307</v>
      </c>
    </row>
    <row r="396" spans="1:12" ht="28.8" x14ac:dyDescent="0.3">
      <c r="A396" s="3" t="s">
        <v>187</v>
      </c>
      <c r="B396" s="4" t="s">
        <v>20</v>
      </c>
      <c r="C396" s="4" t="s">
        <v>185</v>
      </c>
      <c r="D396" s="4" t="s">
        <v>287</v>
      </c>
      <c r="E396" s="4" t="s">
        <v>308</v>
      </c>
      <c r="F396" s="4" t="s">
        <v>309</v>
      </c>
      <c r="G396" s="7">
        <v>2017</v>
      </c>
      <c r="H396" s="6">
        <v>11.6</v>
      </c>
      <c r="I396" s="4" t="s">
        <v>298</v>
      </c>
      <c r="J396" s="4" t="s">
        <v>216</v>
      </c>
      <c r="K396" s="4" t="s">
        <v>310</v>
      </c>
      <c r="L396" s="4" t="s">
        <v>311</v>
      </c>
    </row>
    <row r="397" spans="1:12" ht="28.8" x14ac:dyDescent="0.3">
      <c r="A397" s="3" t="s">
        <v>189</v>
      </c>
      <c r="B397" s="4" t="s">
        <v>20</v>
      </c>
      <c r="C397" s="4" t="s">
        <v>185</v>
      </c>
      <c r="D397" s="4" t="s">
        <v>288</v>
      </c>
      <c r="E397" s="4" t="s">
        <v>207</v>
      </c>
      <c r="F397" s="4" t="s">
        <v>293</v>
      </c>
      <c r="G397" s="7">
        <v>2026</v>
      </c>
      <c r="H397" s="6">
        <v>2631</v>
      </c>
      <c r="I397" s="4" t="s">
        <v>294</v>
      </c>
      <c r="J397" s="4" t="s">
        <v>215</v>
      </c>
      <c r="K397" s="4" t="s">
        <v>211</v>
      </c>
      <c r="L397" s="4" t="s">
        <v>295</v>
      </c>
    </row>
    <row r="398" spans="1:12" ht="28.8" x14ac:dyDescent="0.3">
      <c r="A398" s="3" t="s">
        <v>189</v>
      </c>
      <c r="B398" s="4" t="s">
        <v>20</v>
      </c>
      <c r="C398" s="4" t="s">
        <v>185</v>
      </c>
      <c r="D398" s="4" t="s">
        <v>288</v>
      </c>
      <c r="E398" s="4" t="s">
        <v>296</v>
      </c>
      <c r="F398" s="4" t="s">
        <v>297</v>
      </c>
      <c r="G398" s="7">
        <v>2017</v>
      </c>
      <c r="H398" s="6">
        <v>93.1</v>
      </c>
      <c r="I398" s="4" t="s">
        <v>298</v>
      </c>
      <c r="J398" s="4" t="s">
        <v>299</v>
      </c>
      <c r="K398" s="4" t="s">
        <v>300</v>
      </c>
      <c r="L398" s="4" t="s">
        <v>301</v>
      </c>
    </row>
    <row r="399" spans="1:12" ht="28.8" x14ac:dyDescent="0.3">
      <c r="A399" s="3" t="s">
        <v>189</v>
      </c>
      <c r="B399" s="4" t="s">
        <v>20</v>
      </c>
      <c r="C399" s="4" t="s">
        <v>185</v>
      </c>
      <c r="D399" s="4" t="s">
        <v>288</v>
      </c>
      <c r="E399" s="4" t="s">
        <v>296</v>
      </c>
      <c r="F399" s="4" t="s">
        <v>302</v>
      </c>
      <c r="G399" s="7">
        <v>2017</v>
      </c>
      <c r="H399" s="6">
        <v>19.3</v>
      </c>
      <c r="I399" s="4" t="s">
        <v>298</v>
      </c>
      <c r="J399" s="4" t="s">
        <v>303</v>
      </c>
      <c r="K399" s="4" t="s">
        <v>300</v>
      </c>
      <c r="L399" s="4" t="s">
        <v>301</v>
      </c>
    </row>
    <row r="400" spans="1:12" ht="28.8" x14ac:dyDescent="0.3">
      <c r="A400" s="3" t="s">
        <v>189</v>
      </c>
      <c r="B400" s="4" t="s">
        <v>20</v>
      </c>
      <c r="C400" s="4" t="s">
        <v>185</v>
      </c>
      <c r="D400" s="4" t="s">
        <v>288</v>
      </c>
      <c r="E400" s="4" t="s">
        <v>304</v>
      </c>
      <c r="F400" s="4" t="s">
        <v>305</v>
      </c>
      <c r="G400" s="7">
        <v>2017</v>
      </c>
      <c r="H400" s="6">
        <v>0.1</v>
      </c>
      <c r="I400" s="4" t="s">
        <v>298</v>
      </c>
      <c r="J400" s="4" t="s">
        <v>306</v>
      </c>
      <c r="K400" s="4" t="s">
        <v>300</v>
      </c>
      <c r="L400" s="4" t="s">
        <v>307</v>
      </c>
    </row>
    <row r="401" spans="1:12" ht="28.8" x14ac:dyDescent="0.3">
      <c r="A401" s="3" t="s">
        <v>189</v>
      </c>
      <c r="B401" s="4" t="s">
        <v>20</v>
      </c>
      <c r="C401" s="4" t="s">
        <v>185</v>
      </c>
      <c r="D401" s="4" t="s">
        <v>288</v>
      </c>
      <c r="E401" s="4" t="s">
        <v>308</v>
      </c>
      <c r="F401" s="4" t="s">
        <v>309</v>
      </c>
      <c r="G401" s="7">
        <v>2017</v>
      </c>
      <c r="H401" s="6">
        <v>10.5</v>
      </c>
      <c r="I401" s="4" t="s">
        <v>298</v>
      </c>
      <c r="J401" s="4" t="s">
        <v>216</v>
      </c>
      <c r="K401" s="4" t="s">
        <v>310</v>
      </c>
      <c r="L401" s="4" t="s">
        <v>313</v>
      </c>
    </row>
    <row r="402" spans="1:12" ht="28.8" x14ac:dyDescent="0.3">
      <c r="A402" s="3" t="s">
        <v>191</v>
      </c>
      <c r="B402" s="4" t="s">
        <v>20</v>
      </c>
      <c r="C402" s="4" t="s">
        <v>185</v>
      </c>
      <c r="D402" s="4" t="s">
        <v>289</v>
      </c>
      <c r="E402" s="4" t="s">
        <v>207</v>
      </c>
      <c r="F402" s="4" t="s">
        <v>293</v>
      </c>
      <c r="G402" s="7">
        <v>2026</v>
      </c>
      <c r="H402" s="6">
        <v>6080</v>
      </c>
      <c r="I402" s="4" t="s">
        <v>294</v>
      </c>
      <c r="J402" s="4" t="s">
        <v>215</v>
      </c>
      <c r="K402" s="4" t="s">
        <v>211</v>
      </c>
      <c r="L402" s="4" t="s">
        <v>295</v>
      </c>
    </row>
    <row r="403" spans="1:12" ht="28.8" x14ac:dyDescent="0.3">
      <c r="A403" s="3" t="s">
        <v>191</v>
      </c>
      <c r="B403" s="4" t="s">
        <v>20</v>
      </c>
      <c r="C403" s="4" t="s">
        <v>185</v>
      </c>
      <c r="D403" s="4" t="s">
        <v>289</v>
      </c>
      <c r="E403" s="4" t="s">
        <v>296</v>
      </c>
      <c r="F403" s="4" t="s">
        <v>297</v>
      </c>
      <c r="G403" s="7">
        <v>2017</v>
      </c>
      <c r="H403" s="6">
        <v>62.5</v>
      </c>
      <c r="I403" s="4" t="s">
        <v>298</v>
      </c>
      <c r="J403" s="4" t="s">
        <v>299</v>
      </c>
      <c r="K403" s="4" t="s">
        <v>300</v>
      </c>
      <c r="L403" s="4" t="s">
        <v>301</v>
      </c>
    </row>
    <row r="404" spans="1:12" ht="28.8" x14ac:dyDescent="0.3">
      <c r="A404" s="3" t="s">
        <v>191</v>
      </c>
      <c r="B404" s="4" t="s">
        <v>20</v>
      </c>
      <c r="C404" s="4" t="s">
        <v>185</v>
      </c>
      <c r="D404" s="4" t="s">
        <v>289</v>
      </c>
      <c r="E404" s="4" t="s">
        <v>296</v>
      </c>
      <c r="F404" s="4" t="s">
        <v>302</v>
      </c>
      <c r="G404" s="7">
        <v>2017</v>
      </c>
      <c r="H404" s="6">
        <v>15.6</v>
      </c>
      <c r="I404" s="4" t="s">
        <v>298</v>
      </c>
      <c r="J404" s="4" t="s">
        <v>303</v>
      </c>
      <c r="K404" s="4" t="s">
        <v>300</v>
      </c>
      <c r="L404" s="4" t="s">
        <v>301</v>
      </c>
    </row>
    <row r="405" spans="1:12" ht="28.8" x14ac:dyDescent="0.3">
      <c r="A405" s="3" t="s">
        <v>191</v>
      </c>
      <c r="B405" s="4" t="s">
        <v>20</v>
      </c>
      <c r="C405" s="4" t="s">
        <v>185</v>
      </c>
      <c r="D405" s="4" t="s">
        <v>289</v>
      </c>
      <c r="E405" s="4" t="s">
        <v>304</v>
      </c>
      <c r="F405" s="4" t="s">
        <v>305</v>
      </c>
      <c r="G405" s="7">
        <v>2017</v>
      </c>
      <c r="H405" s="6">
        <v>1</v>
      </c>
      <c r="I405" s="4" t="s">
        <v>298</v>
      </c>
      <c r="J405" s="4" t="s">
        <v>306</v>
      </c>
      <c r="K405" s="4" t="s">
        <v>300</v>
      </c>
      <c r="L405" s="4" t="s">
        <v>307</v>
      </c>
    </row>
    <row r="406" spans="1:12" ht="28.8" x14ac:dyDescent="0.3">
      <c r="A406" s="3" t="s">
        <v>191</v>
      </c>
      <c r="B406" s="4" t="s">
        <v>20</v>
      </c>
      <c r="C406" s="4" t="s">
        <v>185</v>
      </c>
      <c r="D406" s="4" t="s">
        <v>289</v>
      </c>
      <c r="E406" s="4" t="s">
        <v>308</v>
      </c>
      <c r="F406" s="4" t="s">
        <v>309</v>
      </c>
      <c r="G406" s="7">
        <v>2017</v>
      </c>
      <c r="H406" s="6">
        <v>13.7</v>
      </c>
      <c r="I406" s="4" t="s">
        <v>298</v>
      </c>
      <c r="J406" s="4" t="s">
        <v>216</v>
      </c>
      <c r="K406" s="4" t="s">
        <v>310</v>
      </c>
      <c r="L406" s="4" t="s">
        <v>311</v>
      </c>
    </row>
    <row r="407" spans="1:12" ht="28.8" x14ac:dyDescent="0.3">
      <c r="A407" s="3" t="s">
        <v>193</v>
      </c>
      <c r="B407" s="4" t="s">
        <v>20</v>
      </c>
      <c r="C407" s="4" t="s">
        <v>194</v>
      </c>
      <c r="D407" s="4" t="s">
        <v>194</v>
      </c>
      <c r="E407" s="4" t="s">
        <v>207</v>
      </c>
      <c r="F407" s="4" t="s">
        <v>293</v>
      </c>
      <c r="G407" s="7">
        <v>2026</v>
      </c>
      <c r="H407" s="6">
        <v>62551</v>
      </c>
      <c r="I407" s="4" t="s">
        <v>294</v>
      </c>
      <c r="J407" s="4" t="s">
        <v>215</v>
      </c>
      <c r="K407" s="4" t="s">
        <v>211</v>
      </c>
      <c r="L407" s="4" t="s">
        <v>295</v>
      </c>
    </row>
    <row r="408" spans="1:12" ht="28.8" x14ac:dyDescent="0.3">
      <c r="A408" s="3" t="s">
        <v>193</v>
      </c>
      <c r="B408" s="4" t="s">
        <v>20</v>
      </c>
      <c r="C408" s="4" t="s">
        <v>194</v>
      </c>
      <c r="D408" s="4" t="s">
        <v>194</v>
      </c>
      <c r="E408" s="4" t="s">
        <v>296</v>
      </c>
      <c r="F408" s="4" t="s">
        <v>297</v>
      </c>
      <c r="G408" s="7">
        <v>2017</v>
      </c>
      <c r="H408" s="6">
        <v>78.3</v>
      </c>
      <c r="I408" s="4" t="s">
        <v>298</v>
      </c>
      <c r="J408" s="4" t="s">
        <v>299</v>
      </c>
      <c r="K408" s="4" t="s">
        <v>300</v>
      </c>
      <c r="L408" s="4" t="s">
        <v>301</v>
      </c>
    </row>
    <row r="409" spans="1:12" ht="28.8" x14ac:dyDescent="0.3">
      <c r="A409" s="3" t="s">
        <v>193</v>
      </c>
      <c r="B409" s="4" t="s">
        <v>20</v>
      </c>
      <c r="C409" s="4" t="s">
        <v>194</v>
      </c>
      <c r="D409" s="4" t="s">
        <v>194</v>
      </c>
      <c r="E409" s="4" t="s">
        <v>296</v>
      </c>
      <c r="F409" s="4" t="s">
        <v>302</v>
      </c>
      <c r="G409" s="7">
        <v>2017</v>
      </c>
      <c r="H409" s="6">
        <v>52.2</v>
      </c>
      <c r="I409" s="4" t="s">
        <v>298</v>
      </c>
      <c r="J409" s="4" t="s">
        <v>303</v>
      </c>
      <c r="K409" s="4" t="s">
        <v>300</v>
      </c>
      <c r="L409" s="4" t="s">
        <v>301</v>
      </c>
    </row>
    <row r="410" spans="1:12" ht="28.8" x14ac:dyDescent="0.3">
      <c r="A410" s="3" t="s">
        <v>193</v>
      </c>
      <c r="B410" s="4" t="s">
        <v>20</v>
      </c>
      <c r="C410" s="4" t="s">
        <v>194</v>
      </c>
      <c r="D410" s="4" t="s">
        <v>194</v>
      </c>
      <c r="E410" s="4" t="s">
        <v>304</v>
      </c>
      <c r="F410" s="4" t="s">
        <v>305</v>
      </c>
      <c r="G410" s="7">
        <v>2017</v>
      </c>
      <c r="H410" s="6">
        <v>11.4</v>
      </c>
      <c r="I410" s="4" t="s">
        <v>298</v>
      </c>
      <c r="J410" s="4" t="s">
        <v>306</v>
      </c>
      <c r="K410" s="4" t="s">
        <v>300</v>
      </c>
      <c r="L410" s="4" t="s">
        <v>307</v>
      </c>
    </row>
    <row r="411" spans="1:12" ht="28.8" x14ac:dyDescent="0.3">
      <c r="A411" s="3" t="s">
        <v>193</v>
      </c>
      <c r="B411" s="4" t="s">
        <v>20</v>
      </c>
      <c r="C411" s="4" t="s">
        <v>194</v>
      </c>
      <c r="D411" s="4" t="s">
        <v>194</v>
      </c>
      <c r="E411" s="4" t="s">
        <v>308</v>
      </c>
      <c r="F411" s="4" t="s">
        <v>309</v>
      </c>
      <c r="G411" s="7">
        <v>2017</v>
      </c>
      <c r="H411" s="6">
        <v>7.7</v>
      </c>
      <c r="I411" s="4" t="s">
        <v>298</v>
      </c>
      <c r="J411" s="4" t="s">
        <v>216</v>
      </c>
      <c r="K411" s="4" t="s">
        <v>310</v>
      </c>
      <c r="L411" s="4" t="s">
        <v>311</v>
      </c>
    </row>
    <row r="412" spans="1:12" ht="28.8" x14ac:dyDescent="0.3">
      <c r="A412" s="3" t="s">
        <v>196</v>
      </c>
      <c r="B412" s="4" t="s">
        <v>20</v>
      </c>
      <c r="C412" s="4" t="s">
        <v>194</v>
      </c>
      <c r="D412" s="4" t="s">
        <v>290</v>
      </c>
      <c r="E412" s="4" t="s">
        <v>207</v>
      </c>
      <c r="F412" s="4" t="s">
        <v>293</v>
      </c>
      <c r="G412" s="7">
        <v>2026</v>
      </c>
      <c r="H412" s="6">
        <v>45930</v>
      </c>
      <c r="I412" s="4" t="s">
        <v>294</v>
      </c>
      <c r="J412" s="4" t="s">
        <v>215</v>
      </c>
      <c r="K412" s="4" t="s">
        <v>211</v>
      </c>
      <c r="L412" s="4" t="s">
        <v>295</v>
      </c>
    </row>
    <row r="413" spans="1:12" ht="28.8" x14ac:dyDescent="0.3">
      <c r="A413" s="3" t="s">
        <v>196</v>
      </c>
      <c r="B413" s="4" t="s">
        <v>20</v>
      </c>
      <c r="C413" s="4" t="s">
        <v>194</v>
      </c>
      <c r="D413" s="4" t="s">
        <v>290</v>
      </c>
      <c r="E413" s="4" t="s">
        <v>296</v>
      </c>
      <c r="F413" s="4" t="s">
        <v>297</v>
      </c>
      <c r="G413" s="7">
        <v>2017</v>
      </c>
      <c r="H413" s="6">
        <v>82.5</v>
      </c>
      <c r="I413" s="4" t="s">
        <v>298</v>
      </c>
      <c r="J413" s="4" t="s">
        <v>299</v>
      </c>
      <c r="K413" s="4" t="s">
        <v>300</v>
      </c>
      <c r="L413" s="4" t="s">
        <v>301</v>
      </c>
    </row>
    <row r="414" spans="1:12" ht="28.8" x14ac:dyDescent="0.3">
      <c r="A414" s="3" t="s">
        <v>196</v>
      </c>
      <c r="B414" s="4" t="s">
        <v>20</v>
      </c>
      <c r="C414" s="4" t="s">
        <v>194</v>
      </c>
      <c r="D414" s="4" t="s">
        <v>290</v>
      </c>
      <c r="E414" s="4" t="s">
        <v>296</v>
      </c>
      <c r="F414" s="4" t="s">
        <v>302</v>
      </c>
      <c r="G414" s="7">
        <v>2017</v>
      </c>
      <c r="H414" s="6">
        <v>38</v>
      </c>
      <c r="I414" s="4" t="s">
        <v>298</v>
      </c>
      <c r="J414" s="4" t="s">
        <v>303</v>
      </c>
      <c r="K414" s="4" t="s">
        <v>300</v>
      </c>
      <c r="L414" s="4" t="s">
        <v>301</v>
      </c>
    </row>
    <row r="415" spans="1:12" ht="28.8" x14ac:dyDescent="0.3">
      <c r="A415" s="3" t="s">
        <v>196</v>
      </c>
      <c r="B415" s="4" t="s">
        <v>20</v>
      </c>
      <c r="C415" s="4" t="s">
        <v>194</v>
      </c>
      <c r="D415" s="4" t="s">
        <v>290</v>
      </c>
      <c r="E415" s="4" t="s">
        <v>304</v>
      </c>
      <c r="F415" s="4" t="s">
        <v>305</v>
      </c>
      <c r="G415" s="7">
        <v>2017</v>
      </c>
      <c r="H415" s="6">
        <v>15</v>
      </c>
      <c r="I415" s="4" t="s">
        <v>298</v>
      </c>
      <c r="J415" s="4" t="s">
        <v>306</v>
      </c>
      <c r="K415" s="4" t="s">
        <v>300</v>
      </c>
      <c r="L415" s="4" t="s">
        <v>307</v>
      </c>
    </row>
    <row r="416" spans="1:12" ht="28.8" x14ac:dyDescent="0.3">
      <c r="A416" s="3" t="s">
        <v>196</v>
      </c>
      <c r="B416" s="4" t="s">
        <v>20</v>
      </c>
      <c r="C416" s="4" t="s">
        <v>194</v>
      </c>
      <c r="D416" s="4" t="s">
        <v>290</v>
      </c>
      <c r="E416" s="4" t="s">
        <v>308</v>
      </c>
      <c r="F416" s="4" t="s">
        <v>309</v>
      </c>
      <c r="G416" s="7">
        <v>2017</v>
      </c>
      <c r="H416" s="6">
        <v>7.8</v>
      </c>
      <c r="I416" s="4" t="s">
        <v>298</v>
      </c>
      <c r="J416" s="4" t="s">
        <v>216</v>
      </c>
      <c r="K416" s="4" t="s">
        <v>310</v>
      </c>
      <c r="L416" s="4" t="s">
        <v>311</v>
      </c>
    </row>
    <row r="417" spans="1:12" ht="28.8" x14ac:dyDescent="0.3">
      <c r="A417" s="3" t="s">
        <v>198</v>
      </c>
      <c r="B417" s="4" t="s">
        <v>20</v>
      </c>
      <c r="C417" s="4" t="s">
        <v>194</v>
      </c>
      <c r="D417" s="4" t="s">
        <v>291</v>
      </c>
      <c r="E417" s="4" t="s">
        <v>207</v>
      </c>
      <c r="F417" s="4" t="s">
        <v>293</v>
      </c>
      <c r="G417" s="7">
        <v>2026</v>
      </c>
      <c r="H417" s="6">
        <v>8229</v>
      </c>
      <c r="I417" s="4" t="s">
        <v>294</v>
      </c>
      <c r="J417" s="4" t="s">
        <v>215</v>
      </c>
      <c r="K417" s="4" t="s">
        <v>211</v>
      </c>
      <c r="L417" s="4" t="s">
        <v>295</v>
      </c>
    </row>
    <row r="418" spans="1:12" ht="28.8" x14ac:dyDescent="0.3">
      <c r="A418" s="3" t="s">
        <v>198</v>
      </c>
      <c r="B418" s="4" t="s">
        <v>20</v>
      </c>
      <c r="C418" s="4" t="s">
        <v>194</v>
      </c>
      <c r="D418" s="4" t="s">
        <v>291</v>
      </c>
      <c r="E418" s="4" t="s">
        <v>296</v>
      </c>
      <c r="F418" s="4" t="s">
        <v>297</v>
      </c>
      <c r="G418" s="7">
        <v>2017</v>
      </c>
      <c r="H418" s="6">
        <v>90.8</v>
      </c>
      <c r="I418" s="4" t="s">
        <v>298</v>
      </c>
      <c r="J418" s="4" t="s">
        <v>299</v>
      </c>
      <c r="K418" s="4" t="s">
        <v>300</v>
      </c>
      <c r="L418" s="4" t="s">
        <v>301</v>
      </c>
    </row>
    <row r="419" spans="1:12" ht="28.8" x14ac:dyDescent="0.3">
      <c r="A419" s="3" t="s">
        <v>198</v>
      </c>
      <c r="B419" s="4" t="s">
        <v>20</v>
      </c>
      <c r="C419" s="4" t="s">
        <v>194</v>
      </c>
      <c r="D419" s="4" t="s">
        <v>291</v>
      </c>
      <c r="E419" s="4" t="s">
        <v>296</v>
      </c>
      <c r="F419" s="4" t="s">
        <v>302</v>
      </c>
      <c r="G419" s="7">
        <v>2017</v>
      </c>
      <c r="H419" s="6">
        <v>76.5</v>
      </c>
      <c r="I419" s="4" t="s">
        <v>298</v>
      </c>
      <c r="J419" s="4" t="s">
        <v>303</v>
      </c>
      <c r="K419" s="4" t="s">
        <v>300</v>
      </c>
      <c r="L419" s="4" t="s">
        <v>301</v>
      </c>
    </row>
    <row r="420" spans="1:12" ht="28.8" x14ac:dyDescent="0.3">
      <c r="A420" s="3" t="s">
        <v>198</v>
      </c>
      <c r="B420" s="4" t="s">
        <v>20</v>
      </c>
      <c r="C420" s="4" t="s">
        <v>194</v>
      </c>
      <c r="D420" s="4" t="s">
        <v>291</v>
      </c>
      <c r="E420" s="4" t="s">
        <v>304</v>
      </c>
      <c r="F420" s="4" t="s">
        <v>305</v>
      </c>
      <c r="G420" s="7">
        <v>2017</v>
      </c>
      <c r="H420" s="6">
        <v>12.8</v>
      </c>
      <c r="I420" s="4" t="s">
        <v>298</v>
      </c>
      <c r="J420" s="4" t="s">
        <v>306</v>
      </c>
      <c r="K420" s="4" t="s">
        <v>300</v>
      </c>
      <c r="L420" s="4" t="s">
        <v>307</v>
      </c>
    </row>
    <row r="421" spans="1:12" ht="28.8" x14ac:dyDescent="0.3">
      <c r="A421" s="3" t="s">
        <v>198</v>
      </c>
      <c r="B421" s="4" t="s">
        <v>20</v>
      </c>
      <c r="C421" s="4" t="s">
        <v>194</v>
      </c>
      <c r="D421" s="4" t="s">
        <v>291</v>
      </c>
      <c r="E421" s="4" t="s">
        <v>308</v>
      </c>
      <c r="F421" s="4" t="s">
        <v>309</v>
      </c>
      <c r="G421" s="7">
        <v>2017</v>
      </c>
      <c r="H421" s="6">
        <v>7.7</v>
      </c>
      <c r="I421" s="4" t="s">
        <v>298</v>
      </c>
      <c r="J421" s="4" t="s">
        <v>216</v>
      </c>
      <c r="K421" s="4" t="s">
        <v>310</v>
      </c>
      <c r="L421" s="4" t="s">
        <v>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baseColWidth="10" defaultColWidth="8.88671875" defaultRowHeight="14.4" x14ac:dyDescent="0.3"/>
  <cols>
    <col min="1" max="1" width="48" customWidth="1"/>
    <col min="2" max="2" width="14" customWidth="1"/>
    <col min="3" max="3" width="48" customWidth="1"/>
    <col min="4" max="4" width="14" customWidth="1"/>
    <col min="5" max="5" width="12" customWidth="1"/>
    <col min="6" max="6" width="78" customWidth="1"/>
    <col min="7" max="7" width="62" customWidth="1"/>
  </cols>
  <sheetData>
    <row r="1" spans="1:7" x14ac:dyDescent="0.3">
      <c r="A1" s="8" t="s">
        <v>205</v>
      </c>
      <c r="B1" s="8" t="s">
        <v>315</v>
      </c>
      <c r="C1" s="8" t="s">
        <v>316</v>
      </c>
      <c r="D1" s="8" t="s">
        <v>317</v>
      </c>
      <c r="E1" s="8" t="s">
        <v>314</v>
      </c>
      <c r="F1" s="8" t="s">
        <v>206</v>
      </c>
      <c r="G1" s="8" t="s">
        <v>318</v>
      </c>
    </row>
    <row r="2" spans="1:7" ht="28.8" x14ac:dyDescent="0.3">
      <c r="A2" s="4" t="s">
        <v>319</v>
      </c>
      <c r="B2" s="4" t="s">
        <v>210</v>
      </c>
      <c r="C2" s="4" t="s">
        <v>320</v>
      </c>
      <c r="D2" s="4" t="s">
        <v>321</v>
      </c>
      <c r="E2" s="4" t="s">
        <v>3</v>
      </c>
      <c r="F2" s="4" t="s">
        <v>211</v>
      </c>
      <c r="G2" s="4" t="s">
        <v>322</v>
      </c>
    </row>
    <row r="3" spans="1:7" ht="28.8" x14ac:dyDescent="0.3">
      <c r="A3" s="4" t="s">
        <v>323</v>
      </c>
      <c r="B3" s="4" t="s">
        <v>210</v>
      </c>
      <c r="C3" s="4" t="s">
        <v>324</v>
      </c>
      <c r="D3" s="4" t="s">
        <v>325</v>
      </c>
      <c r="E3" s="4" t="s">
        <v>3</v>
      </c>
      <c r="F3" s="4" t="s">
        <v>300</v>
      </c>
      <c r="G3" s="4" t="s">
        <v>326</v>
      </c>
    </row>
    <row r="4" spans="1:7" ht="28.8" x14ac:dyDescent="0.3">
      <c r="A4" s="4" t="s">
        <v>327</v>
      </c>
      <c r="B4" s="4" t="s">
        <v>210</v>
      </c>
      <c r="C4" s="4" t="s">
        <v>328</v>
      </c>
      <c r="D4" s="4" t="s">
        <v>325</v>
      </c>
      <c r="E4" s="4" t="s">
        <v>3</v>
      </c>
      <c r="F4" s="4" t="s">
        <v>300</v>
      </c>
      <c r="G4" s="4" t="s">
        <v>326</v>
      </c>
    </row>
    <row r="5" spans="1:7" ht="28.8" x14ac:dyDescent="0.3">
      <c r="A5" s="4" t="s">
        <v>329</v>
      </c>
      <c r="B5" s="4" t="s">
        <v>210</v>
      </c>
      <c r="C5" s="4" t="s">
        <v>305</v>
      </c>
      <c r="D5" s="4" t="s">
        <v>325</v>
      </c>
      <c r="E5" s="4" t="s">
        <v>3</v>
      </c>
      <c r="F5" s="4" t="s">
        <v>300</v>
      </c>
      <c r="G5" s="4" t="s">
        <v>330</v>
      </c>
    </row>
    <row r="6" spans="1:7" ht="28.8" x14ac:dyDescent="0.3">
      <c r="A6" s="4" t="s">
        <v>331</v>
      </c>
      <c r="B6" s="4" t="s">
        <v>210</v>
      </c>
      <c r="C6" s="4" t="s">
        <v>332</v>
      </c>
      <c r="D6" s="4" t="s">
        <v>333</v>
      </c>
      <c r="E6" s="4" t="s">
        <v>3</v>
      </c>
      <c r="F6" s="4" t="s">
        <v>310</v>
      </c>
      <c r="G6" s="4" t="s">
        <v>334</v>
      </c>
    </row>
    <row r="7" spans="1:7" ht="28.8" x14ac:dyDescent="0.3">
      <c r="A7" s="4" t="s">
        <v>335</v>
      </c>
      <c r="B7" s="4" t="s">
        <v>210</v>
      </c>
      <c r="C7" s="4" t="s">
        <v>336</v>
      </c>
      <c r="D7" s="4" t="s">
        <v>325</v>
      </c>
      <c r="E7" s="4" t="s">
        <v>3</v>
      </c>
      <c r="F7" s="4" t="s">
        <v>337</v>
      </c>
      <c r="G7" s="4" t="s">
        <v>338</v>
      </c>
    </row>
    <row r="8" spans="1:7" x14ac:dyDescent="0.3">
      <c r="A8" s="4" t="s">
        <v>339</v>
      </c>
      <c r="B8" s="4" t="s">
        <v>210</v>
      </c>
      <c r="C8" s="4" t="s">
        <v>340</v>
      </c>
      <c r="D8" s="4" t="s">
        <v>341</v>
      </c>
      <c r="E8" s="4" t="s">
        <v>3</v>
      </c>
      <c r="F8" s="4" t="s">
        <v>342</v>
      </c>
      <c r="G8" s="4" t="s">
        <v>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4"/>
  <sheetViews>
    <sheetView workbookViewId="0">
      <selection sqref="A1:N1"/>
    </sheetView>
  </sheetViews>
  <sheetFormatPr baseColWidth="10" defaultColWidth="8.88671875" defaultRowHeight="14.4" x14ac:dyDescent="0.3"/>
  <cols>
    <col min="1" max="1" width="42" customWidth="1"/>
    <col min="2" max="6" width="17" customWidth="1"/>
  </cols>
  <sheetData>
    <row r="1" spans="1:14" ht="18" x14ac:dyDescent="0.35">
      <c r="A1" s="10" t="s">
        <v>344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28.8" x14ac:dyDescent="0.3">
      <c r="A3" s="2" t="s">
        <v>202</v>
      </c>
      <c r="B3" s="2" t="s">
        <v>345</v>
      </c>
      <c r="C3" s="2" t="s">
        <v>346</v>
      </c>
      <c r="D3" s="2" t="s">
        <v>347</v>
      </c>
      <c r="E3" s="2" t="s">
        <v>348</v>
      </c>
      <c r="F3" s="2" t="s">
        <v>349</v>
      </c>
      <c r="G3" s="4"/>
      <c r="H3" s="9" t="s">
        <v>350</v>
      </c>
      <c r="I3" s="9" t="s">
        <v>351</v>
      </c>
      <c r="J3" s="4"/>
      <c r="K3" s="4"/>
      <c r="L3" s="4"/>
      <c r="M3" s="4"/>
      <c r="N3" s="4"/>
    </row>
    <row r="4" spans="1:14" x14ac:dyDescent="0.3">
      <c r="A4" s="4" t="s">
        <v>212</v>
      </c>
      <c r="B4" s="4">
        <f>COUNT([1]Indicadores!#REF!)</f>
        <v>0</v>
      </c>
      <c r="C4" s="5" t="e">
        <f>AVERAGE([1]Indicadores!#REF!)</f>
        <v>#REF!</v>
      </c>
      <c r="D4" s="5" t="e">
        <f>MEDIAN([1]Indicadores!#REF!)</f>
        <v>#REF!</v>
      </c>
      <c r="E4" s="5" t="e">
        <f>MIN([1]Indicadores!#REF!)</f>
        <v>#REF!</v>
      </c>
      <c r="F4" s="5" t="e">
        <f>MAX([1]Indicadores!#REF!)</f>
        <v>#REF!</v>
      </c>
      <c r="G4" s="4"/>
      <c r="H4" s="4" t="s">
        <v>352</v>
      </c>
      <c r="I4" s="6">
        <f>C5</f>
        <v>73.907228915662685</v>
      </c>
      <c r="J4" s="4"/>
      <c r="K4" s="4"/>
      <c r="L4" s="4"/>
      <c r="M4" s="4"/>
      <c r="N4" s="4"/>
    </row>
    <row r="5" spans="1:14" ht="28.8" x14ac:dyDescent="0.3">
      <c r="A5" s="4" t="s">
        <v>213</v>
      </c>
      <c r="B5" s="4">
        <f>COUNT([1]Indicadores!F2:F85)</f>
        <v>83</v>
      </c>
      <c r="C5" s="6">
        <f>AVERAGE([1]Indicadores!F2:F85)</f>
        <v>73.907228915662685</v>
      </c>
      <c r="D5" s="6">
        <f>MEDIAN([1]Indicadores!F2:F85)</f>
        <v>78.3</v>
      </c>
      <c r="E5" s="6">
        <f>MIN([1]Indicadores!F2:F85)</f>
        <v>0</v>
      </c>
      <c r="F5" s="6">
        <f>MAX([1]Indicadores!F2:F85)</f>
        <v>98.5</v>
      </c>
      <c r="G5" s="4"/>
      <c r="H5" s="4" t="s">
        <v>353</v>
      </c>
      <c r="I5" s="6">
        <f>C6</f>
        <v>45.251807228915652</v>
      </c>
      <c r="J5" s="4"/>
      <c r="K5" s="4"/>
      <c r="L5" s="4"/>
      <c r="M5" s="4"/>
      <c r="N5" s="4"/>
    </row>
    <row r="6" spans="1:14" x14ac:dyDescent="0.3">
      <c r="A6" s="4" t="s">
        <v>354</v>
      </c>
      <c r="B6" s="4">
        <f>COUNT([1]Indicadores!G2:G85)</f>
        <v>83</v>
      </c>
      <c r="C6" s="6">
        <f>AVERAGE([1]Indicadores!G2:G85)</f>
        <v>45.251807228915652</v>
      </c>
      <c r="D6" s="6">
        <f>MEDIAN([1]Indicadores!G2:G85)</f>
        <v>36.799999999999997</v>
      </c>
      <c r="E6" s="6">
        <f>MIN([1]Indicadores!G2:G85)</f>
        <v>0</v>
      </c>
      <c r="F6" s="6">
        <f>MAX([1]Indicadores!G2:G85)</f>
        <v>99.4</v>
      </c>
      <c r="G6" s="4"/>
      <c r="H6" s="4" t="s">
        <v>355</v>
      </c>
      <c r="I6" s="6">
        <f>C7</f>
        <v>10.232530120481927</v>
      </c>
      <c r="J6" s="4"/>
      <c r="K6" s="4"/>
      <c r="L6" s="4"/>
      <c r="M6" s="4"/>
      <c r="N6" s="4"/>
    </row>
    <row r="7" spans="1:14" x14ac:dyDescent="0.3">
      <c r="A7" s="4" t="s">
        <v>356</v>
      </c>
      <c r="B7" s="4">
        <f>COUNT([1]Indicadores!H2:H85)</f>
        <v>83</v>
      </c>
      <c r="C7" s="6">
        <f>AVERAGE([1]Indicadores!H2:H85)</f>
        <v>10.232530120481927</v>
      </c>
      <c r="D7" s="6">
        <f>MEDIAN([1]Indicadores!H2:H85)</f>
        <v>2.5</v>
      </c>
      <c r="E7" s="6">
        <f>MIN([1]Indicadores!H2:H85)</f>
        <v>0</v>
      </c>
      <c r="F7" s="6">
        <f>MAX([1]Indicadores!H2:H85)</f>
        <v>65</v>
      </c>
      <c r="G7" s="4"/>
      <c r="H7" s="4"/>
      <c r="I7" s="4"/>
      <c r="J7" s="4"/>
      <c r="K7" s="4"/>
      <c r="L7" s="4"/>
      <c r="M7" s="4"/>
      <c r="N7" s="4"/>
    </row>
    <row r="8" spans="1:14" x14ac:dyDescent="0.3">
      <c r="A8" s="4" t="s">
        <v>214</v>
      </c>
      <c r="B8" s="4">
        <f>COUNT([1]Indicadores!I2:I85)</f>
        <v>83</v>
      </c>
      <c r="C8" s="6">
        <f>AVERAGE([1]Indicadores!I2:I85)</f>
        <v>12.234939759036145</v>
      </c>
      <c r="D8" s="6">
        <f>MEDIAN([1]Indicadores!I2:I85)</f>
        <v>11.4</v>
      </c>
      <c r="E8" s="6">
        <f>MIN([1]Indicadores!I2:I85)</f>
        <v>1.5</v>
      </c>
      <c r="F8" s="6">
        <f>MAX([1]Indicadores!I2:I85)</f>
        <v>31.6</v>
      </c>
      <c r="G8" s="4"/>
      <c r="H8" s="4"/>
      <c r="I8" s="4"/>
      <c r="J8" s="4"/>
      <c r="K8" s="4"/>
      <c r="L8" s="4"/>
      <c r="M8" s="4"/>
      <c r="N8" s="4"/>
    </row>
    <row r="9" spans="1:14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">
      <c r="A10" s="9" t="s">
        <v>357</v>
      </c>
      <c r="B10" s="9" t="s">
        <v>358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">
      <c r="A11" s="4" t="s">
        <v>359</v>
      </c>
      <c r="B11" s="4">
        <v>84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">
      <c r="A12" s="4" t="s">
        <v>360</v>
      </c>
      <c r="B12" s="4">
        <v>83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">
      <c r="A13" s="4" t="s">
        <v>361</v>
      </c>
      <c r="B13" s="4" t="s">
        <v>227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57.6" x14ac:dyDescent="0.3">
      <c r="A14" s="4" t="s">
        <v>362</v>
      </c>
      <c r="B14" s="4" t="s">
        <v>363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Base_LaLibertad</vt:lpstr>
      <vt:lpstr>Ranking_Crecimiento</vt:lpstr>
      <vt:lpstr>Poblacion_Larga</vt:lpstr>
      <vt:lpstr>Indicadores_Largos_84</vt:lpstr>
      <vt:lpstr>Fuentes_Indicadores</vt:lpstr>
      <vt:lpstr>Resumen_Indicadores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</cp:lastModifiedBy>
  <dcterms:modified xsi:type="dcterms:W3CDTF">2026-09-26T13:34:14Z</dcterms:modified>
</cp:coreProperties>
</file>